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64011"/>
  <mc:AlternateContent xmlns:mc="http://schemas.openxmlformats.org/markup-compatibility/2006">
    <mc:Choice Requires="x15">
      <x15ac:absPath xmlns:x15ac="http://schemas.microsoft.com/office/spreadsheetml/2010/11/ac" url="C:\Users\N.Ananyan\Desktop\Проекты\Агроинвест\Заказ 1\"/>
    </mc:Choice>
  </mc:AlternateContent>
  <bookViews>
    <workbookView xWindow="0" yWindow="0" windowWidth="23040" windowHeight="9336" tabRatio="700" firstSheet="3" activeTab="5"/>
  </bookViews>
  <sheets>
    <sheet name="Recommendations_ рекомендации" sheetId="7" r:id="rId1"/>
    <sheet name="Agreement" sheetId="17" state="hidden" r:id="rId2"/>
    <sheet name="Report" sheetId="29" state="hidden" r:id="rId3"/>
    <sheet name="Этап 1" sheetId="33" r:id="rId4"/>
    <sheet name="Этап 2" sheetId="34" r:id="rId5"/>
    <sheet name="Этап 3" sheetId="35" r:id="rId6"/>
    <sheet name="Accounts" sheetId="15" state="hidden" r:id="rId7"/>
    <sheet name="technical" sheetId="16" state="hidden" r:id="rId8"/>
    <sheet name="Notes - TG" sheetId="25" state="hidden" r:id="rId9"/>
    <sheet name="Not typed project" sheetId="6" state="hidden" r:id="rId10"/>
  </sheets>
  <externalReferences>
    <externalReference r:id="rId11"/>
    <externalReference r:id="rId12"/>
    <externalReference r:id="rId13"/>
    <externalReference r:id="rId14"/>
  </externalReferences>
  <definedNames>
    <definedName name="__123Graph_A" hidden="1">#REF!</definedName>
    <definedName name="__123Graph_ACURRENT" hidden="1">#REF!</definedName>
    <definedName name="__123Graph_B" hidden="1">#REF!</definedName>
    <definedName name="__123Graph_BCURRENT" hidden="1">#REF!</definedName>
    <definedName name="__123Graph_C" hidden="1">#REF!</definedName>
    <definedName name="__123Graph_D" hidden="1">#REF!</definedName>
    <definedName name="__123Graph_E" hidden="1">#REF!</definedName>
    <definedName name="__123Graph_F" hidden="1">#REF!</definedName>
    <definedName name="__123Graph_X" hidden="1">#REF!</definedName>
    <definedName name="__123Graph_XCURRENT" hidden="1">#REF!</definedName>
    <definedName name="__FDS_HYPERLINK_TOGGLE_STATE__" hidden="1">"ON"</definedName>
    <definedName name="_2__123Graph_BCHART_5" hidden="1">#REF!</definedName>
    <definedName name="_4__123Graph_BCHART_5" hidden="1">#REF!</definedName>
    <definedName name="_bdm.ToolkitBookmark.6_17_2004_9_35_05_AM.edm" hidden="1">'[1]Financial model'!$E$362:$O$362</definedName>
    <definedName name="_Fill" hidden="1">#REF!</definedName>
    <definedName name="_xlnm._FilterDatabase" localSheetId="6" hidden="1">Accounts!$A$2:$BI$181</definedName>
    <definedName name="_xlnm._FilterDatabase" localSheetId="2" hidden="1">Report!$A$1:$Z$9</definedName>
    <definedName name="_GR3" hidden="1">{"Informes",#N/A,FALSE,"CA";"Informes",#N/A,FALSE,"CN";"Informes",#N/A,FALSE,"INVERSIONES";"Informes",#N/A,FALSE,"CN Oficial";"Informes",#N/A,FALSE,"CA Oficial";"Informes",#N/A,FALSE,"Res Datos Areas"}</definedName>
    <definedName name="_GSRATES_1" hidden="1">"CT300001Latest          "</definedName>
    <definedName name="_GSRATES_COUNT" hidden="1">1</definedName>
    <definedName name="_GSRATESR_1" hidden="1">#REF!</definedName>
    <definedName name="_Key1" hidden="1">#REF!</definedName>
    <definedName name="_Key2" hidden="1">#REF!</definedName>
    <definedName name="_Order2" hidden="1">255</definedName>
    <definedName name="_Parse_In" hidden="1">#REF!</definedName>
    <definedName name="_Regression_Out" hidden="1">#REF!</definedName>
    <definedName name="_Regression_X" hidden="1">#REF!</definedName>
    <definedName name="_Regression_Y" hidden="1">#REF!</definedName>
    <definedName name="_Sort" hidden="1">#REF!</definedName>
    <definedName name="_Table1_Out" hidden="1">#REF!</definedName>
    <definedName name="_Table2_In1" hidden="1">#REF!</definedName>
    <definedName name="_Table2_In2" hidden="1">#REF!</definedName>
    <definedName name="_Table2_Out" hidden="1">#REF!</definedName>
    <definedName name="aaa" hidden="1">{#N/A,#N/A,FALSE,"Staffnos &amp; cost"}</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AB_GSPPG" hidden="1">"AAB_Goldman Sachs PPG Chart Utilities 1.0g"</definedName>
    <definedName name="AccessDatabase" hidden="1">"D:\Compensation\comp data 2001.xls"</definedName>
    <definedName name="ACwvu.BS." hidden="1">#REF!</definedName>
    <definedName name="anscount" hidden="1">1</definedName>
    <definedName name="are" hidden="1">{#N/A,#N/A,FALSE,"Sheet1"}</definedName>
    <definedName name="as" hidden="1">{#N/A,#N/A,FALSE,"Sheet1"}</definedName>
    <definedName name="aw"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belnew" hidden="1">{"IS",#N/A,FALSE,"IS";"RPTIS",#N/A,FALSE,"RPTIS";"STATS",#N/A,FALSE,"STATS";"CELL",#N/A,FALSE,"CELL";"BS",#N/A,FALSE,"BS"}</definedName>
    <definedName name="çç" hidden="1">{"Informes",#N/A,FALSE,"CA";"Informes",#N/A,FALSE,"CN";"Informes",#N/A,FALSE,"INVERSIONES";"Informes",#N/A,FALSE,"CN Oficial";"Informes",#N/A,FALSE,"CA Oficial";"Informes",#N/A,FALSE,"Res Datos Areas"}</definedName>
    <definedName name="compresult" hidden="1">{"FCB_ALL",#N/A,FALSE,"FCB"}</definedName>
    <definedName name="compresults" hidden="1">{"FCB_ALL",#N/A,FALSE,"FCB"}</definedName>
    <definedName name="DBA03e171a6f07b4864962ccc6dcaad8402">[2]Лист4!$O$2:$O$52</definedName>
    <definedName name="DBA19c2fde337aa47c58108539186ad44d5">[3]Лист4!$C$2:$C$3</definedName>
    <definedName name="DBA455f7a8893cf4825b0be6fc31162ce29">[3]Лист4!$B$2:$B$67</definedName>
    <definedName name="dfgh" hidden="1">#REF!</definedName>
    <definedName name="erew" hidden="1">{#N/A,#N/A,FALSE,"Sheet1"}</definedName>
    <definedName name="fcb" hidden="1">{"FCB_ALL",#N/A,FALSE,"FCB"}</definedName>
    <definedName name="fsd" hidden="1">{#N/A,#N/A,FALSE,"Sheet1"}</definedName>
    <definedName name="HTML_CodePage" hidden="1">1252</definedName>
    <definedName name="HTML_Control" hidden="1">{"'Market &amp; Company Profile'!$H$24:$I$25"}</definedName>
    <definedName name="HTML_Description" hidden="1">""</definedName>
    <definedName name="HTML_Email" hidden="1">""</definedName>
    <definedName name="HTML_Header" hidden="1">"Market &amp; Company Profile"</definedName>
    <definedName name="HTML_LastUpdate" hidden="1">"25.01.01"</definedName>
    <definedName name="HTML_LineAfter" hidden="1">FALSE</definedName>
    <definedName name="HTML_LineBefore" hidden="1">FALSE</definedName>
    <definedName name="HTML_Name" hidden="1">"Arthur Andersen"</definedName>
    <definedName name="HTML_OBDlg2" hidden="1">TRUE</definedName>
    <definedName name="HTML_OBDlg4" hidden="1">TRUE</definedName>
    <definedName name="HTML_OS" hidden="1">0</definedName>
    <definedName name="HTML_PathFile" hidden="1">"C:\DATA\Aurora II\Design\Input\Actual\MyHTML.htm"</definedName>
    <definedName name="HTML_Title" hidden="1">"010124 (EndeligReportPackagesMarket)v"</definedName>
    <definedName name="iQShowHideColumns" hidden="1">"iQShowAnnual"</definedName>
    <definedName name="jazz" hidden="1">{#N/A,#N/A,FALSE,"Spain MKT";#N/A,#N/A,FALSE,"Assumptions";#N/A,#N/A,FALSE,"Adve";#N/A,#N/A,FALSE,"E-Commerce";#N/A,#N/A,FALSE,"Opex";#N/A,#N/A,FALSE,"P&amp;L";#N/A,#N/A,FALSE,"FCF &amp; DCF"}</definedName>
    <definedName name="jazz2" hidden="1">{#N/A,#N/A,FALSE,"Spain MKT";#N/A,#N/A,FALSE,"Assumptions";#N/A,#N/A,FALSE,"Adve";#N/A,#N/A,FALSE,"E-Commerce";#N/A,#N/A,FALSE,"Opex";#N/A,#N/A,FALSE,"P&amp;L";#N/A,#N/A,FALSE,"FCF &amp; DCF"}</definedName>
    <definedName name="jgjhg" hidden="1">#REF!</definedName>
    <definedName name="kjdslf" hidden="1">{#N/A,#N/A,FALSE,"Sheet1"}</definedName>
    <definedName name="List">[4]СПИСОК!$B$2:$C$346</definedName>
    <definedName name="lkj" hidden="1">{"print95",#N/A,FALSE,"1995E.XLS";"print96",#N/A,FALSE,"1996E.XLS"}</definedName>
    <definedName name="LotusGraphChart1" hidden="1">#REF!</definedName>
    <definedName name="lotusgraphchart1b" hidden="1">#REF!</definedName>
    <definedName name="lotusgraphchart1x" hidden="1">#REF!</definedName>
    <definedName name="MDSBanner">#REF!</definedName>
    <definedName name="newbel" hidden="1">{"IS",#N/A,FALSE,"IS";"RPTIS",#N/A,FALSE,"RPTIS";"STATS",#N/A,FALSE,"STATS";"CELL",#N/A,FALSE,"CELL";"BS",#N/A,FALSE,"BS"}</definedName>
    <definedName name="results" hidden="1">{"FCB_ALL",#N/A,FALSE,"FCB"}</definedName>
    <definedName name="SAPBEXrevision" hidden="1">271</definedName>
    <definedName name="SAPBEXsysID" hidden="1">"BWG"</definedName>
    <definedName name="SAPBEXwbID" hidden="1">"3LJ6JB8RCTCAP4OO5Y7C5VY9N"</definedName>
    <definedName name="sdsss" hidden="1">#REF!</definedName>
    <definedName name="sencount" hidden="1">1</definedName>
    <definedName name="Swvu.BS." hidden="1">#REF!</definedName>
    <definedName name="test" hidden="1">{#N/A,#N/A,FALSE,"F_Plan";#N/A,#N/A,FALSE,"Parameter"}</definedName>
    <definedName name="test1" hidden="1">{#N/A,#N/A,FALSE,"Umsatz";#N/A,#N/A,FALSE,"Base V.02";#N/A,#N/A,FALSE,"Charts"}</definedName>
    <definedName name="TOTAL" hidden="1">{"Informes",#N/A,FALSE,"CA";"Informes",#N/A,FALSE,"CN";"Informes",#N/A,FALSE,"INVERSIONES";"Informes",#N/A,FALSE,"CN Oficial";"Informes",#N/A,FALSE,"CA Oficial";"Informes",#N/A,FALSE,"Res Datos Areas"}</definedName>
    <definedName name="TOTAL_IN" hidden="1">{"Informes",#N/A,FALSE,"CA";"Informes",#N/A,FALSE,"CN";"Informes",#N/A,FALSE,"INVERSIONES";"Informes",#N/A,FALSE,"CN Oficial";"Informes",#N/A,FALSE,"CA Oficial";"Informes",#N/A,FALSE,"Res Datos Areas"}</definedName>
    <definedName name="TOTAL_INFORMES" hidden="1">{"Informes",#N/A,FALSE,"CA";"Informes",#N/A,FALSE,"CN";"Informes",#N/A,FALSE,"INVERSIONES";"Informes",#N/A,FALSE,"CN Oficial";"Informes",#N/A,FALSE,"CA Oficial";"Informes",#N/A,FALSE,"Res Datos Areas"}</definedName>
    <definedName name="tradcomp" hidden="1">{#N/A,#N/A,FALSE,"Trading-Mult ";#N/A,#N/A,FALSE,"Trading-Cap";#N/A,#N/A,FALSE,"Trading-Inc";#N/A,#N/A,FALSE,"Cash Flow";#N/A,#N/A,FALSE,"M&amp;A info"}</definedName>
    <definedName name="tradingcompar" hidden="1">{#N/A,#N/A,FALSE,"Trading-Mult ";#N/A,#N/A,FALSE,"Trading-Cap";#N/A,#N/A,FALSE,"Trading-Inc";#N/A,#N/A,FALSE,"Cash Flow";#N/A,#N/A,FALSE,"M&amp;A info"}</definedName>
    <definedName name="w" hidden="1">{#N/A,#N/A,TRUE,"Staff cost as % of revenue";#N/A,#N/A,TRUE,"Depreciation as % of sales";#N/A,#N/A,TRUE,"Employee cost";#N/A,#N/A,TRUE,"Traffic per line";#N/A,#N/A,TRUE,"Lines per employee"}</definedName>
    <definedName name="Web" hidden="1">{#N/A,#N/A,FALSE,"Inputs - Prices &amp; Forecasts"}</definedName>
    <definedName name="wew" hidden="1">{#N/A,#N/A,FALSE,"Sheet1"}</definedName>
    <definedName name="wrn" hidden="1">{#N/A,#N/A,FALSE,"Sheet1"}</definedName>
    <definedName name="wrn.1999._.Corporate." hidden="1">{"1999Corporate",#N/A,FALSE,"Corporate"}</definedName>
    <definedName name="wrn.1999._.Funding." hidden="1">{"1999Funding",#N/A,FALSE,"Funding"}</definedName>
    <definedName name="wrn.1999._.Grp._.Adjustments." hidden="1">{"1999GrpAdj",#N/A,FALSE,"Grp Adj"}</definedName>
    <definedName name="wrn.1999._.Grp._.Consol." hidden="1">{"1999GrpConsol",#N/A,FALSE,"Grp Consol"}</definedName>
    <definedName name="wrn.1999._.HTUK." hidden="1">{"1999HTUK",#N/A,FALSE,"HTUK"}</definedName>
    <definedName name="wrn.1999._.International." hidden="1">{"1999International",#N/A,FALSE,"International"}</definedName>
    <definedName name="wrn.1999._.OIDL." hidden="1">{"1999OIDL",#N/A,FALSE,"OIDL"}</definedName>
    <definedName name="wrn.1999._.Trust." hidden="1">{"1999Trust",#N/A,FALSE,"Trust"}</definedName>
    <definedName name="wrn.2._.pagers." hidden="1">{"Cover",#N/A,FALSE,"Cover";"Summary",#N/A,FALSE,"Summarpage"}</definedName>
    <definedName name="wrn.2000._.Corporate." hidden="1">{"2000Corporate",#N/A,FALSE,"Corporate"}</definedName>
    <definedName name="wrn.2000._.Funding." hidden="1">{"2000Funding",#N/A,FALSE,"Funding"}</definedName>
    <definedName name="wrn.2000._.Grp._.Adjustments." hidden="1">{"2000GrpAdj",#N/A,FALSE,"Grp Adj"}</definedName>
    <definedName name="wrn.2000._.Grp._.Consol." hidden="1">{"2000GrpConsol",#N/A,FALSE,"Grp Consol"}</definedName>
    <definedName name="wrn.2000._.HTUK." hidden="1">{"2000HTUK",#N/A,FALSE,"HTUK"}</definedName>
    <definedName name="wrn.2000._.International." hidden="1">{"2000International",#N/A,FALSE,"International"}</definedName>
    <definedName name="wrn.2000._.OIDL." hidden="1">{"2000OIDL",#N/A,FALSE,"OIDL"}</definedName>
    <definedName name="wrn.2000._.Trust." hidden="1">{"2000Trust",#N/A,FALSE,"Trust"}</definedName>
    <definedName name="wrn.All." hidden="1">{#N/A,#N/A,TRUE,"Main";#N/A,#N/A,TRUE,"Valuation";#N/A,#N/A,TRUE,"Valuation (2)"}</definedName>
    <definedName name="wrn.All._.Company._.Analyses." hidden="1">{"Methodology and Sourcing",#N/A,FALSE,"Methodology and Sourcing";"britishtelecom",#N/A,FALSE,"BT out";"CTC",#N/A,FALSE,"CTC out";"DT",#N/A,FALSE,"DT out";"FT",#N/A,FALSE,"FT out";"HKT",#N/A,FALSE,"HKT out";"KPN",#N/A,FALSE,"KPN out";"MATAV",#N/A,FALSE,"MATAV out";"PT Telkom",#N/A,FALSE,"PT Telkom out";"Tel Arg",#N/A,FALSE,"Tel Arg out";"Telef Arg",#N/A,FALSE,"TASA out";"Tel Asia",#N/A,FALSE,"Tel. Asia Out";"T de E",#N/A,FALSE,"T de E out";"Tel Malay",#N/A,FALSE,"Tel Malay out";"TELMEX",#N/A,FALSE,"Telmex out";"TNZ",#N/A,FALSE,"TNZ out";"Telkom SA",#N/A,FALSE,"Telkom SA out";"SPT",#N/A,FALSE,"SPT out";"USA",#N/A,FALSE,"USA out"}</definedName>
    <definedName name="wrn.ARPU._.composition." hidden="1">{#N/A,#N/A,FALSE,"Additional ARPU"}</definedName>
    <definedName name="wrn.Asia." hidden="1">{"rawdata",#N/A,TRUE,"HKT";"in",#N/A,TRUE,"HKT";"rawdata",#N/A,TRUE,"PTInd";"in",#N/A,TRUE,"PTInd";"rawdata",#N/A,TRUE,"NTT";"in",#N/A,TRUE,"NTT";"rawdata",#N/A,TRUE,"PLD";"in",#N/A,TRUE,"PLD";"rawdata",#N/A,TRUE,"PTTelk";"in",#N/A,TRUE,"PTTelk";"rawdata",#N/A,TRUE,"ST ";"in",#N/A,TRUE,"ST ";"rawdata",#N/A,TRUE,"TAsia";"in",#N/A,TRUE,"TAsia";"rawdata",#N/A,TRUE,"TNZ";"in",#N/A,TRUE,"TNZ";"rawdata",#N/A,TRUE,"TMal";"in",#N/A,TRUE,"TMal";"rawdata",#N/A,TRUE,"TTT";"in",#N/A,TRUE,"TTT";"rawdata",#N/A,TRUE,"Telst";"in",#N/A,TRUE,"Telst"}</definedName>
    <definedName name="wrn.Auto._.Comp." hidden="1">{#N/A,#N/A,FALSE,"Sheet1"}</definedName>
    <definedName name="wrn.BEL." hidden="1">{"IS",#N/A,FALSE,"IS";"RPTIS",#N/A,FALSE,"RPTIS";"STATS",#N/A,FALSE,"STATS";"CELL",#N/A,FALSE,"CELL";"BS",#N/A,FALSE,"BS"}</definedName>
    <definedName name="wrn.BPlan." hidden="1">{#N/A,#N/A,FALSE,"F_Plan";#N/A,#N/A,FALSE,"Parameter"}</definedName>
    <definedName name="wrn.Coded._.IAS._.FS." hidden="1">{"IASTrail",#N/A,FALSE,"IAS"}</definedName>
    <definedName name="wrn.Complete." hidden="1">{"Cover",#N/A,FALSE,"Cover";"Summary",#N/A,FALSE,"Summarpage";"Assumptions",#N/A,FALSE,"Assumptions";"Earnings",#N/A,FALSE,"Earnings";"CF Oper.",#N/A,FALSE,"Earnings";"Balance Sheet",#N/A,FALSE,"balance";"Cash Flow",#N/A,FALSE,"cash flow";"Paper Production",#N/A,FALSE,"Paper";"Paper Earnings",#N/A,FALSE,"Paper";"Wood Production",#N/A,FALSE,"Wood Products";"Wood Earnings",#N/A,FALSE,"Wood Products";"Pulp Production",#N/A,FALSE,"Pulp";"Pulp Earnings",#N/A,FALSE,"Pulp"}</definedName>
    <definedName name="wrn.contribution." hidden="1">{#N/A,#N/A,FALSE,"Contribution Analysis"}</definedName>
    <definedName name="wrn.Cover." hidden="1">{"coverall",#N/A,FALSE,"Definitions";"cover1",#N/A,FALSE,"Definitions";"cover2",#N/A,FALSE,"Definitions";"cover3",#N/A,FALSE,"Definitions";"cover4",#N/A,FALSE,"Definitions";"cover5",#N/A,FALSE,"Definitions";"blank",#N/A,FALSE,"Definitions"}</definedName>
    <definedName name="wrn.CRT." hidden="1">{#N/A,#N/A,TRUE,"Title Sheet";#N/A,#N/A,TRUE,"Contents";#N/A,#N/A,TRUE,"Scenarios";#N/A,#N/A,TRUE,"WACC";#N/A,#N/A,TRUE,"Valuation-PERPETUITY";#N/A,#N/A,TRUE,"IS - Conso";#N/A,#N/A,TRUE,"IS - Conso (US$ '95)";#N/A,#N/A,TRUE,"Cash Flow - Conso";#N/A,#N/A,TRUE,"Cash Flow - Conso (US$'95)";#N/A,#N/A,TRUE,"BS - Conso";#N/A,#N/A,TRUE,"BS - Conso (US$'95)";#N/A,#N/A,TRUE,"Macro Assumptions";#N/A,#N/A,TRUE,"Supply assumptions";#N/A,#N/A,TRUE,"Tariffs-Elasticities (FIXED)";#N/A,#N/A,TRUE,"Fixed - Revenues";#N/A,#N/A,TRUE,"Cellular - Revenues";#N/A,#N/A,TRUE,"Fixed - OPEX";#N/A,#N/A,TRUE,"Cellular - OPEX";#N/A,#N/A,TRUE,"Fixed - CAPEX";#N/A,#N/A,TRUE," mobile - CAPEX ";#N/A,#N/A,TRUE,"Debt ";#N/A,#N/A,TRUE,"Taxes";#N/A,#N/A,TRUE,"Dividends";#N/A,#N/A,TRUE,"Net WC";#N/A,#N/A,TRUE,"Ratios";#N/A,#N/A,TRUE,"Ratios IS-Conso";#N/A,#N/A,TRUE,"Ratios BS - Conso";#N/A,#N/A,TRUE,"Proforma - Fixed";#N/A,#N/A,TRUE,"Proforma- Cellular"}</definedName>
    <definedName name="wrn.csc." hidden="1">{"orixcsc",#N/A,FALSE,"ORIX CSC";"orixcsc2",#N/A,FALSE,"ORIX CSC"}</definedName>
    <definedName name="wrn.csc2." hidden="1">{#N/A,#N/A,FALSE,"ORIX CSC"}</definedName>
    <definedName name="wrn.database." hidden="1">{"subs",#N/A,FALSE,"database ";"proportional",#N/A,FALSE,"database "}</definedName>
    <definedName name="wrn.dcf." hidden="1">{"mgmt forecast",#N/A,FALSE,"Mgmt Forecast";"dcf table",#N/A,FALSE,"Mgmt Forecast";"sensitivity",#N/A,FALSE,"Mgmt Forecast";"table inputs",#N/A,FALSE,"Mgmt Forecast";"calculations",#N/A,FALSE,"Mgmt Forecast"}</definedName>
    <definedName name="wrn.Employee._.Efficiency." hidden="1">{"Employee Efficiency",#N/A,FALSE,"Benchmarking"}</definedName>
    <definedName name="wrn.Europe." hidden="1">{"rawdata",#N/A,TRUE,"BT ";"in",#N/A,TRUE,"BT ";"rawdata",#N/A,TRUE,"CW ";"in",#N/A,TRUE,"CW ";"rawdata",#N/A,TRUE,"KPN";"in",#N/A,TRUE,"KPN";"rawdata",#N/A,TRUE,"OTE";"in",#N/A,TRUE,"OTE";"rawdata",#N/A,TRUE,"Port";"in",#N/A,TRUE,"Port";"rawdata",#N/A,TRUE,"SPT";"in",#N/A,TRUE,"SPT";"rawdata",#N/A,TRUE,"TD ";"in",#N/A,TRUE,"TD ";"rawdata",#N/A,TRUE,"TItal";"rawdata2",#N/A,TRUE,"TItal";"in",#N/A,TRUE,"TItal";"rawdata",#N/A,TRUE,"TdEsp";"in",#N/A,TRUE,"TdEsp";"rawdata",#N/A,TRUE,"Belg";"in",#N/A,TRUE,"Belg";"rawdata",#N/A,TRUE,"BEZEQ";"in",#N/A,TRUE,"BEZEQ";"rawdata",#N/A,TRUE,"DT ";"in",#N/A,TRUE,"DT ";"rawdata",#N/A,TRUE,"FT ";"in",#N/A,TRUE,"FT ";"rawdata",#N/A,TRUE,"MAT";"in",#N/A,TRUE,"MAT";"rawdata",#N/A,TRUE,"Eire";"in",#N/A,TRUE,"Eire";"rawdata",#N/A,TRUE,"TFin";"in",#N/A,TRUE,"TFin";"rawdata",#N/A,TRUE,"TNor";"in",#N/A,TRUE,"TNor";"rawdata",#N/A,TRUE,"Telia";"in",#N/A,TRUE,"Telia";"rawdata",#N/A,TRUE,"TPSA";"in",#N/A,TRUE,"TPSA";"rawdata",#N/A,TRUE,"TSAfr";"in",#N/A,TRUE,"TSAfr";"rawdata",#N/A,TRUE,"Turk";"in",#N/A,TRUE,"Turk"}</definedName>
    <definedName name="wrn.Everything." hidden="1">{#N/A,#N/A,FALSE,"BNSF";#N/A,#N/A,FALSE,"KC";#N/A,#N/A,FALSE,"KCws";#N/A,#N/A,FALSE,"MergKC";#N/A,#N/A,FALSE,"CredStwKC";#N/A,#N/A,FALSE,"SP";#N/A,#N/A,FALSE,"SPws";#N/A,#N/A,FALSE,"MergSP";#N/A,#N/A,FALSE,"CredStwSP";#N/A,#N/A,FALSE,"SPbrkup";#N/A,#N/A,FALSE,"SPwBNSFws";#N/A,#N/A,FALSE,"MergSPwBNSF";#N/A,#N/A,FALSE,"CredStSPwBNSF (2)";#N/A,#N/A,FALSE,"SPwKCws (2)";#N/A,#N/A,FALSE,"MergSPwKC (2)";#N/A,#N/A,FALSE,"CredStKCwSP";#N/A,#N/A,FALSE,"ILL";#N/A,#N/A,FALSE,"SPwILLws";#N/A,#N/A,FALSE,"CredStILLwSP";#N/A,#N/A,FALSE,"MergSPwILL";#N/A,#N/A,FALSE,"CredStILLwSP";#N/A,#N/A,FALSE,"Conrail";#N/A,#N/A,FALSE,"CONws";#N/A,#N/A,FALSE,"MergCON";#N/A,#N/A,FALSE,"CredStwCON";#N/A,#N/A,FALSE,"SPwCONws ";#N/A,#N/A,FALSE,"MergSPwCON";#N/A,#N/A,FALSE,"CredStILLwCON";#N/A,#N/A,FALSE,"SPws (2)";#N/A,#N/A,FALSE,"MergSP (2)";#N/A,#N/A,FALSE,"CredStwSP (2)";#N/A,#N/A,FALSE,"CSX";#N/A,#N/A,FALSE,"CSXws";#N/A,#N/A,FALSE,"MergCSX";#N/A,#N/A,FALSE,"CredStwCSX";#N/A,#N/A,FALSE,"Norfolk";#N/A,#N/A,FALSE,"NORws";#N/A,#N/A,FALSE,"MergNOR";#N/A,#N/A,FALSE,"CredStwNOR";#N/A,#N/A,FALSE,"NORwCONws";#N/A,#N/A,FALSE,"MergNORwCON"}</definedName>
    <definedName name="wrn.ex." hidden="1">{#N/A,#N/A,FALSE,"NBU rates 1999"}</definedName>
    <definedName name="wrn.FCB." hidden="1">{"FCB_ALL",#N/A,FALSE,"FCB"}</definedName>
    <definedName name="wrn.Fixed._.Assets._.Note._.and._.Depreciation." hidden="1">{#N/A,#N/A,FALSE,"FA_1";#N/A,#N/A,FALSE,"Dep'n SE";#N/A,#N/A,FALSE,"Dep'n FC"}</definedName>
    <definedName name="wrn.forecast." hidden="1">{#N/A,#N/A,FALSE,"model"}</definedName>
    <definedName name="wrn.forecast2" hidden="1">{#N/A,#N/A,FALSE,"model"}</definedName>
    <definedName name="wrn.forecastassumptions." hidden="1">{#N/A,#N/A,FALSE,"model"}</definedName>
    <definedName name="wrn.forecastassumptions2" hidden="1">{#N/A,#N/A,FALSE,"model"}</definedName>
    <definedName name="wrn.forecastROIC." hidden="1">{#N/A,#N/A,FALSE,"model"}</definedName>
    <definedName name="wrn.forecastROIC2" hidden="1">{#N/A,#N/A,FALSE,"model"}</definedName>
    <definedName name="wrn.Full._.IAS._.STATEMENTS." hidden="1">{"IASBS",#N/A,FALSE,"IAS";"IASPL",#N/A,FALSE,"IAS";#N/A,#N/A,FALSE,"CF DIR";"IASNotes",#N/A,FALSE,"IAS";#N/A,#N/A,FALSE,"FA_1";#N/A,#N/A,FALSE,"Dep'n FC";#N/A,#N/A,FALSE,"Dep'n SE";#N/A,#N/A,FALSE,"Inv_1";#N/A,#N/A,FALSE,"NMG";#N/A,#N/A,FALSE,"Recon";#N/A,#N/A,FALSE,"EPS"}</definedName>
    <definedName name="wrn.Full._.Model." hidden="1">{#N/A,#N/A,TRUE,"Cover sheet";#N/A,#N/A,TRUE,"DCF analysis";#N/A,#N/A,TRUE,"WACC calculation"}</definedName>
    <definedName name="wrn.Full._.TRAIL." hidden="1">{"IAS Mapping",#N/A,FALSE,"RSA_FS";#N/A,#N/A,FALSE,"CHECK!";#N/A,#N/A,FALSE,"Recon";#N/A,#N/A,FALSE,"NMG";#N/A,#N/A,FALSE,"Journals";"AnalRSA",#N/A,FALSE,"PL-Anal";"AnalIAS",#N/A,FALSE,"PL-Anal";#N/A,#N/A,FALSE,"COS"}</definedName>
    <definedName name="wrn.Full._.without._.data." hidden="1">{#N/A,#N/A,FALSE,"Title";#N/A,#N/A,FALSE,"Contents";#N/A,#N/A,FALSE,"Executive summary";#N/A,#N/A,FALSE,"Assumptions";#N/A,#N/A,FALSE,"Nybron";#N/A,#N/A,FALSE,"Trading Nybron";#N/A,#N/A,FALSE,"Transactions Nybron";#N/A,#N/A,FALSE,"DCF Nybron";#N/A,#N/A,FALSE,"Poggenpohl";#N/A,#N/A,FALSE,"Trading Poggenpohl";#N/A,#N/A,FALSE,"Transactions Poggenpohl";#N/A,#N/A,FALSE,"DCF Poggenpohl";#N/A,#N/A,FALSE,"Elit";#N/A,#N/A,FALSE,"DCF Elit";#N/A,#N/A,FALSE,"LBO"}</definedName>
    <definedName name="wrn.Help." hidden="1">{#N/A,#N/A,TRUE,"MAP";#N/A,#N/A,TRUE,"STEPS";#N/A,#N/A,TRUE,"RULES"}</definedName>
    <definedName name="wrn.history." hidden="1">{#N/A,#N/A,FALSE,"model"}</definedName>
    <definedName name="wrn.history2" hidden="1">{#N/A,#N/A,FALSE,"model"}</definedName>
    <definedName name="wrn.histROIC." hidden="1">{#N/A,#N/A,FALSE,"model"}</definedName>
    <definedName name="wrn.histROIC2" hidden="1">{#N/A,#N/A,FALSE,"model"}</definedName>
    <definedName name="wrn.IAS._.BS._.PL._.CF._.and._.Notes." hidden="1">{"IASBS",#N/A,TRUE,"IAS";"IASPL",#N/A,TRUE,"IAS";"IASNotes",#N/A,TRUE,"IAS";"CFDir - expanded",#N/A,TRUE,"CF DIR"}</definedName>
    <definedName name="wrn.IAS._.FS._.ZOOMED._.IN._.Forms." hidden="1">{"IAS_ShortView_1",#N/A,FALSE,"IAS";"IAS_ShortView_2",#N/A,FALSE,"IAS";"IAS_ShortView_3",#N/A,FALSE,"IAS";"IAS_ShortView_4",#N/A,FALSE,"IAS";"IAS_ShortView_5",#N/A,FALSE,"IAS";"IAS_ShortView_6",#N/A,FALSE,"IAS";"IAS_ShortView_7",#N/A,FALSE,"IAS";"CFDir - Zoomed In",#N/A,FALSE,"CF DIR"}</definedName>
    <definedName name="wrn.IAS._.Mapping." hidden="1">{"IAS Mapping",#N/A,TRUE,"RSA_FS"}</definedName>
    <definedName name="wrn.ilya." hidden="1">{#N/A,#N/A,TRUE,"Staff cost as % of revenue";#N/A,#N/A,TRUE,"Depreciation as % of sales";#N/A,#N/A,TRUE,"Employee cost";#N/A,#N/A,TRUE,"Traffic per line";#N/A,#N/A,TRUE,"Lines per employee"}</definedName>
    <definedName name="wrn.ilya1." hidden="1">{#N/A,#N/A,TRUE,"Staff cost as % of revenue";#N/A,#N/A,TRUE,"Depreciation as % of sales";#N/A,#N/A,TRUE,"Employee cost";#N/A,#N/A,TRUE,"Traffic per line";#N/A,#N/A,TRUE,"Lines per employee"}</definedName>
    <definedName name="wrn.Import._.figures." hidden="1">{"reports",#N/A,FALSE,"Balance Sheet"}</definedName>
    <definedName name="wrn.Inflation._.factors._.used." hidden="1">{#N/A,#N/A,FALSE,"Infl_fact"}</definedName>
    <definedName name="wrn.Informes." hidden="1">{#N/A,#N/A,FALSE,"CN Oficial RESUMIDA EXCanon";#N/A,#N/A,FALSE,"CN Oficial";#N/A,#N/A,FALSE,"CA Oficial";#N/A,#N/A,FALSE,"PLANTILLA";#N/A,#N/A,FALSE,"BAL";#N/A,#N/A,FALSE,"PT_Finanzas";#N/A,#N/A,FALSE,"INVERSIONES BIEN"}</definedName>
    <definedName name="wrn.international." hidden="1">{"sweden",#N/A,FALSE,"Sweden";"germany",#N/A,FALSE,"Germany";"portugal",#N/A,FALSE,"Portugal";"belgium",#N/A,FALSE,"Belgium";"japan",#N/A,FALSE,"Japan ";"italy",#N/A,FALSE,"Italy";"spain",#N/A,FALSE,"Spain";"korea",#N/A,FALSE,"Korea"}</definedName>
    <definedName name="wrn.Line._.Efficiency." hidden="1">{"Line Efficiency",#N/A,FALSE,"Benchmarking"}</definedName>
    <definedName name="wrn.Normal." hidden="1">{#N/A,#N/A,FALSE,"Market Values I";#N/A,#N/A,FALSE,"Market Values II";#N/A,#N/A,FALSE,"DT Shareholding";#N/A,#N/A,FALSE,"Purchase of Sprint1";#N/A,#N/A,FALSE,"Purchase of Sprint2";#N/A,#N/A,FALSE,"Financial Impact1";#N/A,#N/A,FALSE,"Financial Impact2";#N/A,#N/A,FALSE,"Financial Impact3";#N/A,#N/A,FALSE,"Flowback"}</definedName>
    <definedName name="wrn.Output." hidden="1">{"definitions",#N/A,TRUE,"Definitions";"out1",#N/A,TRUE,"Valuation";"out2",#N/A,TRUE,"Valuation";"out3",#N/A,TRUE,"Valuation";"out4",#N/A,TRUE,"Valuation";"out",#N/A,TRUE,"Efficiency";"out1",#N/A,TRUE,"Growth,Margin,Rev Split";"out2",#N/A,TRUE,"Growth,Margin,Rev Split";"out1",#N/A,TRUE,"Financial Ratios";"out2",#N/A,TRUE,"Financial Ratios";"outeg",#N/A,TRUE,"Efficiency";"test1",#N/A,TRUE,"Prices";"test2",#N/A,TRUE,"Prices";"test3",#N/A,TRUE,"Prices";"test1",#N/A,TRUE,"Segments";"test2",#N/A,TRUE,"Segments";"in",#N/A,TRUE,"Country";"in",#N/A,TRUE,"Housekeeping"}</definedName>
    <definedName name="wrn.PandL_Summary." hidden="1">{#N/A,#N/A,FALSE,"Summary"}</definedName>
    <definedName name="wrn.PL._.Analysis." hidden="1">{"AnalRSA",#N/A,TRUE,"PL-Anal";"AnalIAS",#N/A,TRUE,"PL-Anal"}</definedName>
    <definedName name="wrn.PrimeCo." hidden="1">{"print 1",#N/A,FALSE,"PrimeCo PCS";"print 2",#N/A,FALSE,"PrimeCo PCS";"valuation",#N/A,FALSE,"PrimeCo PCS"}</definedName>
    <definedName name="wrn.Print." hidden="1">{#N/A,#N/A,FALSE,"Trading-Mult ";#N/A,#N/A,FALSE,"Trading-Cap";#N/A,#N/A,FALSE,"Trading-Inc";#N/A,#N/A,FALSE,"Cash Flow";#N/A,#N/A,FALSE,"M&amp;A info"}</definedName>
    <definedName name="wrn.print._.all." hidden="1">{#N/A,#N/A,TRUE,"Introduction";#N/A,#N/A,TRUE,"DCR - TV";#N/A,#N/A,TRUE,"Summary";#N/A,#N/A,TRUE,"Valuation (5)";#N/A,#N/A,TRUE,"Valuation (2)";#N/A,#N/A,TRUE,"Valuation (3)";#N/A,#N/A,TRUE,"Valuation";#N/A,#N/A,TRUE,"Sensitivity Summary";#N/A,#N/A,TRUE,"Proforma Accounts";#N/A,#N/A,TRUE,"Traffic";#N/A,#N/A,TRUE,"Tariffs";#N/A,#N/A,TRUE,"Revenue";#N/A,#N/A,TRUE,"Costs";#N/A,#N/A,TRUE,"Financing Assumptions"}</definedName>
    <definedName name="wrn.print._.pages." hidden="1">{#N/A,#N/A,FALSE,"Spain MKT";#N/A,#N/A,FALSE,"Assumptions";#N/A,#N/A,FALSE,"Adve";#N/A,#N/A,FALSE,"E-Commerce";#N/A,#N/A,FALSE,"Opex";#N/A,#N/A,FALSE,"P&amp;L";#N/A,#N/A,FALSE,"FCF &amp; DCF"}</definedName>
    <definedName name="wrn.print._.pages2." hidden="1">{#N/A,#N/A,FALSE,"Spain MKT";#N/A,#N/A,FALSE,"Assumptions";#N/A,#N/A,FALSE,"Adve";#N/A,#N/A,FALSE,"E-Commerce";#N/A,#N/A,FALSE,"Opex";#N/A,#N/A,FALSE,"P&amp;L";#N/A,#N/A,FALSE,"FCF &amp; DCF"}</definedName>
    <definedName name="wrn.print._.standalone." hidden="1">{"standalone1",#N/A,FALSE,"DCFBase";"standalone2",#N/A,FALSE,"DCFBase"}</definedName>
    <definedName name="wrn.Print1." hidden="1">{"Title",#N/A,FALSE,"Title";"Info",#N/A,FALSE,"Title";"Contents",#N/A,FALSE,"Title";"Sec.1",#N/A,FALSE,"Title";"Output1",#N/A,FALSE,"Output";"Sec.2",#N/A,FALSE,"Title";"Graph1",#N/A,FALSE,"Output";"Graph2",#N/A,FALSE,"Output";"Sec.3",#N/A,FALSE,"Title";"Gap1",#N/A,FALSE,"Output";"Sec.4",#N/A,FALSE,"Title";"Model_all",#N/A,FALSE,"Autostrade S.p.A."}</definedName>
    <definedName name="wrn.print95and96." hidden="1">{"print95",#N/A,FALSE,"1995E.XLS";"print96",#N/A,FALSE,"1996E.XLS"}</definedName>
    <definedName name="wrn.Pulp." hidden="1">{"Pulp Production",#N/A,FALSE,"Pulp";"Pulp Earnings",#N/A,FALSE,"Pulp"}</definedName>
    <definedName name="wrn.Qrtly._.Grp._.Consol." hidden="1">{"QTRLYGrpConsol",#N/A,FALSE,"Grp Consol"}</definedName>
    <definedName name="wrn.Qrtly._.International." hidden="1">{"QTRLYInternational",#N/A,FALSE,"International"}</definedName>
    <definedName name="wrn.Qtrly._.Corporate." hidden="1">{"QTRLYCorporate",#N/A,FALSE,"Corporate"}</definedName>
    <definedName name="wrn.Qtrly._.Funding." hidden="1">{"QTRLYFunding",#N/A,FALSE,"Funding"}</definedName>
    <definedName name="wrn.Qtrly._.Grp._.Adjustments." hidden="1">{"QTRLYGrpAdj",#N/A,FALSE,"Grp Adj"}</definedName>
    <definedName name="wrn.Qtrly._.HTUK." hidden="1">{"QTRLYHTUK",#N/A,FALSE,"HTUK"}</definedName>
    <definedName name="wrn.Qtrly._.OIDL." hidden="1">{"QTRLYOIDL",#N/A,FALSE,"OIDL"}</definedName>
    <definedName name="wrn.Qtrly._.Trust." hidden="1">{"QTRLYTrust",#N/A,FALSE,"Trust"}</definedName>
    <definedName name="wrn.Report1." hidden="1">{"Title",#N/A,TRUE,"Title";"Content",#N/A,TRUE,"Title";"Section1",#N/A,TRUE,"Title";"Output1",#N/A,TRUE,"Output";"Section2",#N/A,TRUE,"Title";"Graph1",#N/A,TRUE,"Output";"Section3",#N/A,TRUE,"Title";"Graph2",#N/A,TRUE,"Output";"Section4",#N/A,TRUE,"Title";"Gap1",#N/A,TRUE,"Output";"Section5",#N/A,TRUE,"Title";"Model_all",#N/A,TRUE,"Autostrade S.p.A."}</definedName>
    <definedName name="wrn.RSA._.BS._.and._.PL." hidden="1">{"BS1",#N/A,TRUE,"RSA_FS";"BS2",#N/A,TRUE,"RSA_FS";"BS3",#N/A,TRUE,"RSA_FS"}</definedName>
    <definedName name="wrn.SKSCS1." hidden="1">{#N/A,#N/A,FALSE,"Antony Financials";#N/A,#N/A,FALSE,"Cowboy Financials";#N/A,#N/A,FALSE,"Combined";#N/A,#N/A,FALSE,"Valuematrix";#N/A,#N/A,FALSE,"DCFAntony";#N/A,#N/A,FALSE,"DCFCowboy";#N/A,#N/A,FALSE,"DCFCombined"}</definedName>
    <definedName name="wrn.Staff._.cost1998." hidden="1">{#N/A,#N/A,TRUE,"Staffnos &amp; cost"}</definedName>
    <definedName name="wrn.Staffcost." hidden="1">{#N/A,#N/A,FALSE,"Staffnos &amp; cost"}</definedName>
    <definedName name="wrn.STAND_ALONE_BOTH." hidden="1">{"FCB_ALL",#N/A,FALSE,"FCB";"GREY_ALL",#N/A,FALSE,"GREY"}</definedName>
    <definedName name="wrn.Summary." hidden="1">{#N/A,#N/A,FALSE,"Inputs - Prices &amp; Forecasts"}</definedName>
    <definedName name="wrn.SummaryPgs." hidden="1">{#N/A,#N/A,FALSE,"CreditStat";#N/A,#N/A,FALSE,"SPbrkup";#N/A,#N/A,FALSE,"MerSPsyn";#N/A,#N/A,FALSE,"MerSPwKCsyn";#N/A,#N/A,FALSE,"MerSPwKCsyn (2)";#N/A,#N/A,FALSE,"CreditStat (2)"}</definedName>
    <definedName name="wrn.Tariff._.Analysis." hidden="1">{"Tarifica91",#N/A,FALSE,"Tariffs";"Tarifica92",#N/A,FALSE,"Tariffs";"Tarifica93",#N/A,FALSE,"Tariffs";"Tarifica94",#N/A,FALSE,"Tariffs";"Tarifica95",#N/A,FALSE,"Tariffs";"Tarifica96",#N/A,FALSE,"Tariffs"}</definedName>
    <definedName name="wrn.Tariff._.Comaprison." hidden="1">{"Tariff Comparison",#N/A,FALSE,"Benchmarking";"Tariff Comparison 2",#N/A,FALSE,"Benchmarking";"Tariff Comparison 3",#N/A,FALSE,"Benchmarking"}</definedName>
    <definedName name="wrn.test." hidden="1">{"test2",#N/A,TRUE,"Prices"}</definedName>
    <definedName name="wrn.Tweety." hidden="1">{#N/A,#N/A,FALSE,"A&amp;E";#N/A,#N/A,FALSE,"HighTop";#N/A,#N/A,FALSE,"JG";#N/A,#N/A,FALSE,"RI";#N/A,#N/A,FALSE,"woHT";#N/A,#N/A,FALSE,"woHT&amp;JG"}</definedName>
    <definedName name="wrn.UK._.GAAP._.BS." hidden="1">{"UKGAAP balance sheet",#N/A,FALSE,"Balance Sheet"}</definedName>
    <definedName name="wrn.Umsatz." hidden="1">{#N/A,#N/A,FALSE,"Umsatz";#N/A,#N/A,FALSE,"Base V.02";#N/A,#N/A,FALSE,"Charts"}</definedName>
    <definedName name="wrn.USW." hidden="1">{"IS",#N/A,FALSE,"IS";"RPTIS",#N/A,FALSE,"RPTIS";"STATS",#N/A,FALSE,"STATS";"BS",#N/A,FALSE,"BS"}</definedName>
    <definedName name="wrn.valuation." hidden="1">{#N/A,#N/A,FALSE,"Valuation";#N/A,#N/A,FALSE,"Valuation (5)";#N/A,#N/A,FALSE,"Valuation (2)";#N/A,#N/A,FALSE,"Valuation (3)"}</definedName>
    <definedName name="wrn.БЕЛЕБЕЕВСКИЙ._.МОЛОЧНЫЙ._.КОМБИНАТ." hidden="1">{#N/A,#N/A,TRUE,"Лист1"}</definedName>
    <definedName name="wrn1.history" hidden="1">{#N/A,#N/A,FALSE,"model"}</definedName>
    <definedName name="wrn3.histroic" hidden="1">{#N/A,#N/A,FALSE,"model"}</definedName>
    <definedName name="wvu.BS." hidden="1">{TRUE,FALSE,-2.6,-18.8,621.6,367.2,FALSE,FALSE,TRUE,TRUE,0,1,61,1,6,1,5,4,TRUE,TRUE,3,TRUE,1,TRUE,100,"Swvu.BS.","ACwvu.BS.",#N/A,FALSE,FALSE,0.5,0.5,0.5,0.5,2,"","",FALSE,FALSE,FALSE,FALSE,1,#N/A,1,1,"=R1C1:R27C73",FALSE,FALSE,FALSE,FALSE,FALSE,FALSE,1,#N/A,#N/A,FALSE,FALSE,TRUE,TRUE,TRUE}</definedName>
    <definedName name="xx" hidden="1">{#N/A,#N/A,FALSE,"Sheet1"}</definedName>
    <definedName name="y" hidden="1">{#N/A,#N/A,FALSE,"Sheet1"}</definedName>
    <definedName name="yy" hidden="1">{#N/A,#N/A,FALSE,"Sheet1"}</definedName>
    <definedName name="Z_06AC9F35_FA76_11D3_94DD_00C04FA0B046_.wvu.PrintArea" hidden="1">#REF!</definedName>
    <definedName name="Z_06AF62AE_3F63_11D3_8C95_000000000000_.wvu.PrintArea" hidden="1">#REF!</definedName>
    <definedName name="Z_0B432A8C_F278_11D2_9169_0060B01A6EB2_.wvu.PrintArea" hidden="1">#REF!</definedName>
    <definedName name="Z_0B432DE3_F278_11D2_9169_0060B01A6EB2_.wvu.PrintArea" hidden="1">#REF!</definedName>
    <definedName name="Z_0B432F66_F278_11D2_9169_0060B01A6EB2_.wvu.PrintArea" hidden="1">#REF!</definedName>
    <definedName name="Z_0E86059D_B79D_11D3_94E0_00C04F602AEF_.wvu.PrintArea" hidden="1">#REF!</definedName>
    <definedName name="Z_0EF37FB7_DAF6_11D3_94D7_00C04FA0B046_.wvu.PrintArea" hidden="1">#REF!</definedName>
    <definedName name="Z_138E77AE_F8DF_11D3_94E9_00C04F612D61_.wvu.PrintArea" hidden="1">#REF!</definedName>
    <definedName name="Z_138E77CA_F8DF_11D3_94E9_00C04F612D61_.wvu.PrintArea" hidden="1">#REF!</definedName>
    <definedName name="Z_138E7870_F8DF_11D3_94E9_00C04F612D61_.wvu.PrintArea" hidden="1">#REF!</definedName>
    <definedName name="Z_138E7890_F8DF_11D3_94E9_00C04F612D61_.wvu.PrintArea" hidden="1">#REF!</definedName>
    <definedName name="Z_14CF0AE7_82DD_11D2_8012_0060B01A6EB2_.wvu.PrintArea" hidden="1">#REF!</definedName>
    <definedName name="Z_1ACDB192_F033_11D3_94F1_00C04F602AEF_.wvu.PrintArea" hidden="1">#REF!</definedName>
    <definedName name="Z_1CCDDD74_3AAE_11D3_8C8A_000000000000_.wvu.PrintArea" hidden="1">#REF!</definedName>
    <definedName name="Z_336250C7_C772_11D3_94E8_00C04F602AEF_.wvu.PrintArea" hidden="1">#REF!</definedName>
    <definedName name="Z_3374E370_4024_11D3_8C96_000000000000_.wvu.PrintArea" hidden="1">#REF!</definedName>
    <definedName name="Z_36C1D6DA_94EC_11D2_801D_0060B01A6EB2_.wvu.PrintArea" hidden="1">#REF!</definedName>
    <definedName name="Z_38F40303_FE58_11D3_94DE_00C04FA0B046_.wvu.PrintArea" hidden="1">#REF!</definedName>
    <definedName name="Z_390E4561_86E6_11D3_94D7_00C04F612D61_.wvu.PrintArea" hidden="1">#REF!</definedName>
    <definedName name="Z_3EE9B1F1_964A_11D3_94D2_00C04F602AEF_.wvu.PrintArea" hidden="1">#REF!</definedName>
    <definedName name="Z_3EE9B283_964A_11D3_94D2_00C04F602AEF_.wvu.PrintArea" hidden="1">#REF!</definedName>
    <definedName name="Z_3EE9B315_964A_11D3_94D2_00C04F602AEF_.wvu.PrintArea" hidden="1">#REF!</definedName>
    <definedName name="Z_3FA1C490_192D_11D3_802B_0060B01A6EB2_.wvu.PrintArea" hidden="1">#REF!</definedName>
    <definedName name="Z_3FA1C663_192D_11D3_802B_0060B01A6EB2_.wvu.PrintArea" hidden="1">#REF!</definedName>
    <definedName name="Z_45C4ADC6_6DE9_11D3_8CD4_006097940621_.wvu.PrintArea" hidden="1">#REF!</definedName>
    <definedName name="Z_4980F475_BD39_11D3_8C84_000000000000_.wvu.PrintArea" hidden="1">#REF!</definedName>
    <definedName name="Z_4B4009D6_E3A8_11D3_94EE_00C04F602AEF_.wvu.PrintArea" hidden="1">#REF!</definedName>
    <definedName name="Z_4C6401EE_68F1_11D2_800E_0060B01A6EB2_.wvu.PrintArea" hidden="1">#REF!</definedName>
    <definedName name="Z_526D3161_71B2_11D3_94D5_00C04F612D61_.wvu.PrintArea" hidden="1">#REF!</definedName>
    <definedName name="Z_55752DE4_DAF1_11D2_8029_0060B01A6EB2_.wvu.PrintArea" hidden="1">#REF!</definedName>
    <definedName name="Z_55752FF6_DAF1_11D2_8029_0060B01A6EB2_.wvu.PrintArea" hidden="1">#REF!</definedName>
    <definedName name="Z_59DC2A9C_3DF3_11D3_8C92_000000000000_.wvu.PrintArea" hidden="1">#REF!</definedName>
    <definedName name="Z_5C712547_8854_11D2_8012_0060B01A6EB2_.wvu.PrintArea" hidden="1">#REF!</definedName>
    <definedName name="Z_630A7C8D_C852_11D3_94E8_00C04F602AEF_.wvu.PrintArea" hidden="1">#REF!</definedName>
    <definedName name="Z_6F2D40DB_9E62_11D2_801D_0060B01A6EB2_.wvu.PrintArea" hidden="1">#REF!</definedName>
    <definedName name="Z_70D354D2_2FAA_11D3_8C7E_000000000000_.wvu.PrintArea" hidden="1">#REF!</definedName>
    <definedName name="Z_722C8872_BC62_11D3_94DF_00C04F612D61_.wvu.PrintArea" hidden="1">#REF!</definedName>
    <definedName name="Z_722C8A68_BC62_11D3_94DF_00C04F612D61_.wvu.PrintArea" hidden="1">#REF!</definedName>
    <definedName name="Z_722C8C5E_BC62_11D3_94DF_00C04F612D61_.wvu.PrintArea" hidden="1">#REF!</definedName>
    <definedName name="Z_722C8CF0_BC62_11D3_94DF_00C04F612D61_.wvu.PrintArea" hidden="1">#REF!</definedName>
    <definedName name="Z_722C8D93_BC62_11D3_94DF_00C04F612D61_.wvu.PrintArea" hidden="1">#REF!</definedName>
    <definedName name="Z_722C8E2B_BC62_11D3_94DF_00C04F612D61_.wvu.PrintArea" hidden="1">#REF!</definedName>
    <definedName name="Z_722C92F7_BC62_11D3_94DF_00C04F612D61_.wvu.PrintArea" hidden="1">#REF!</definedName>
    <definedName name="Z_781D38AD_00AD_11D3_916C_0060B01A6EB2_.wvu.PrintArea" hidden="1">#REF!</definedName>
    <definedName name="Z_781D3F23_00AD_11D3_916C_0060B01A6EB2_.wvu.PrintArea" hidden="1">#REF!</definedName>
    <definedName name="Z_795B27E2_B3C0_11D2_801F_0060B01A6EB2_.wvu.PrintArea" hidden="1">#REF!</definedName>
    <definedName name="Z_795B28D1_B3C0_11D2_801F_0060B01A6EB2_.wvu.PrintArea" hidden="1">#REF!</definedName>
    <definedName name="Z_795B2974_B3C0_11D2_801F_0060B01A6EB2_.wvu.PrintArea" hidden="1">#REF!</definedName>
    <definedName name="Z_795B2A17_B3C0_11D2_801F_0060B01A6EB2_.wvu.PrintArea" hidden="1">#REF!</definedName>
    <definedName name="Z_875F1EBE_BC71_11D3_8C83_000000000000_.wvu.PrintArea" hidden="1">#REF!</definedName>
    <definedName name="Z_88CF5AE2_9425_11D2_801C_0060B01A6EB2_.wvu.PrintArea" hidden="1">#REF!</definedName>
    <definedName name="Z_89196099_EBAD_11D3_94DA_00C04FA0B046_.wvu.PrintArea" hidden="1">#REF!</definedName>
    <definedName name="Z_89481651_D00D_11D3_94E3_00C04F612D61_.wvu.PrintArea" hidden="1">#REF!</definedName>
    <definedName name="Z_89A6267D_7FD1_11D2_8012_0060B01A6EB2_.wvu.PrintArea" hidden="1">#REF!</definedName>
    <definedName name="Z_8A9C8C59_0D13_11D3_8026_0060B01A6EB2_.wvu.PrintArea" hidden="1">#REF!</definedName>
    <definedName name="Z_8A9C8F32_0D13_11D3_8026_0060B01A6EB2_.wvu.PrintArea" hidden="1">#REF!</definedName>
    <definedName name="Z_8DE117E5_DE02_11D2_8029_0060B01A6EB2_.wvu.PrintArea" hidden="1">#REF!</definedName>
    <definedName name="Z_9B6F4435_ABB4_11D2_801F_0060B01A6EB2_.wvu.PrintArea" hidden="1">#REF!</definedName>
    <definedName name="Z_9BE98507_F126_11D3_94E7_00C04F612D61_.wvu.PrintArea" hidden="1">#REF!</definedName>
    <definedName name="Z_A06D4791_FE5D_11D3_94EA_00C04F612D61_.wvu.PrintArea" hidden="1">#REF!</definedName>
    <definedName name="Z_A06D480D_FE5D_11D3_94EA_00C04F612D61_.wvu.PrintArea" hidden="1">#REF!</definedName>
    <definedName name="Z_A06D49B4_FE5D_11D3_94EA_00C04F612D61_.wvu.PrintArea" hidden="1">#REF!</definedName>
    <definedName name="Z_A06D49D0_FE5D_11D3_94EA_00C04F612D61_.wvu.PrintArea" hidden="1">#REF!</definedName>
    <definedName name="Z_A18F811F_B263_11D3_94DE_00C04F602AEF_.wvu.PrintArea" hidden="1">#REF!</definedName>
    <definedName name="Z_A18F8547_B263_11D3_94DE_00C04F602AEF_.wvu.PrintArea" hidden="1">#REF!</definedName>
    <definedName name="Z_A1CC2EEB_9D38_11D3_94D4_00C04F602AEF_.wvu.PrintArea" hidden="1">#REF!</definedName>
    <definedName name="Z_A2860F0F_949B_11D3_94D2_00C04F602AEF_.wvu.PrintArea" hidden="1">#REF!</definedName>
    <definedName name="Z_A2860FA1_949B_11D3_94D2_00C04F602AEF_.wvu.PrintArea" hidden="1">#REF!</definedName>
    <definedName name="Z_AEFAD2E8_D55C_11D2_8027_0060B01A6EB2_.wvu.PrintArea" hidden="1">#REF!</definedName>
    <definedName name="Z_AEFAD4A3_D55C_11D2_8027_0060B01A6EB2_.wvu.PrintArea" hidden="1">#REF!</definedName>
    <definedName name="Z_B4680705_EDD3_11D3_94DB_00C04FA0B046_.wvu.PrintArea" hidden="1">#REF!</definedName>
    <definedName name="Z_B468079E_EDD3_11D3_94DB_00C04FA0B046_.wvu.PrintArea" hidden="1">#REF!</definedName>
    <definedName name="Z_B49E3C17_C2B6_11D3_94E0_00C04F612D61_.wvu.PrintArea" hidden="1">#REF!</definedName>
    <definedName name="Z_B8DFAC8E_92C4_11D3_94D1_00C04F602AEF_.wvu.PrintArea" hidden="1">#REF!</definedName>
    <definedName name="Z_BB3B8A5D_F8E8_11D3_94DC_00C04FA0B046_.wvu.PrintArea" hidden="1">#REF!</definedName>
    <definedName name="Z_C4E24F0A_F692_11D3_94DB_00C04FA0B046_.wvu.PrintArea" hidden="1">#REF!</definedName>
    <definedName name="Z_CA9BF89C_7273_11D3_94D6_00C04F612D61_.wvu.PrintArea" hidden="1">#REF!</definedName>
    <definedName name="Z_CAFB083F_9067_11D3_94D0_00C04F602AEF_.wvu.PrintArea" hidden="1">#REF!</definedName>
    <definedName name="Z_CAFB08CF_9067_11D3_94D0_00C04F602AEF_.wvu.PrintArea" hidden="1">#REF!</definedName>
    <definedName name="Z_CAFB0A43_9067_11D3_94D0_00C04F602AEF_.wvu.PrintArea" hidden="1">#REF!</definedName>
    <definedName name="Z_D74C6D72_E604_11D3_94E6_00C04F612D61_.wvu.PrintArea" hidden="1">#REF!</definedName>
    <definedName name="Z_D74C6F25_E604_11D3_94E6_00C04F612D61_.wvu.PrintArea" hidden="1">#REF!</definedName>
    <definedName name="Z_D74C736A_E604_11D3_94E6_00C04F612D61_.wvu.PrintArea" hidden="1">#REF!</definedName>
    <definedName name="Z_D74C7645_E604_11D3_94E6_00C04F612D61_.wvu.PrintArea" hidden="1">#REF!</definedName>
    <definedName name="Z_D74C777D_E604_11D3_94E6_00C04F612D61_.wvu.PrintArea" hidden="1">#REF!</definedName>
    <definedName name="Z_D74C787B_E604_11D3_94E6_00C04F612D61_.wvu.PrintArea" hidden="1">#REF!</definedName>
    <definedName name="Z_D74C790F_E604_11D3_94E6_00C04F612D61_.wvu.PrintArea" hidden="1">#REF!</definedName>
    <definedName name="Z_D74C7ACD_E604_11D3_94E6_00C04F612D61_.wvu.PrintArea" hidden="1">#REF!</definedName>
    <definedName name="Z_DB425CD1_773A_11D3_94D6_00C04F612D61_.wvu.PrintArea" hidden="1">#REF!</definedName>
    <definedName name="Z_DD27408C_6785_11D2_800D_0060B01A6EB2_.wvu.PrintArea" hidden="1">#REF!</definedName>
    <definedName name="Z_E10DD71A_42CC_11D3_8C99_000000000000_.wvu.PrintArea" hidden="1">#REF!</definedName>
    <definedName name="Z_E3359E54_F4E5_11D3_94DB_00C04FA0B046_.wvu.PrintArea" hidden="1">#REF!</definedName>
    <definedName name="Z_E499C1FA_EA01_11D3_94D9_00C04FA0B046_.wvu.PrintArea" hidden="1">#REF!</definedName>
    <definedName name="Z_E8179140_DD91_11D3_94ED_00C04F602AEF_.wvu.PrintArea" hidden="1">#REF!</definedName>
    <definedName name="Z_EEDCBCAC_8399_11D2_8016_0060B01AC4B2_.wvu.PrintArea" hidden="1">#REF!</definedName>
    <definedName name="Z_F2884976_0A0D_11D3_916D_0060B01A6EB2_.wvu.PrintArea" hidden="1">#REF!</definedName>
    <definedName name="Z_FB37AAA2_E08C_11D2_8029_0060B01A6EB2_.wvu.PrintArea" hidden="1">#REF!</definedName>
    <definedName name="Z_FB37B214_E08C_11D2_8029_0060B01A6EB2_.wvu.PrintArea" hidden="1">#REF!</definedName>
    <definedName name="Z_FC0AB258_AC5F_11D3_94DB_00C04F602AEF_.wvu.PrintArea" hidden="1">#REF!</definedName>
    <definedName name="Z_FC0AB2EA_AC5F_11D3_94DB_00C04F602AEF_.wvu.PrintArea" hidden="1">#REF!</definedName>
    <definedName name="вваыв" hidden="1">#REF!</definedName>
    <definedName name="ллл" hidden="1">{"print95",#N/A,FALSE,"1995E.XLS";"print96",#N/A,FALSE,"1996E.XLS"}</definedName>
    <definedName name="о61005" hidden="1">{"print95",#N/A,FALSE,"1995E.XLS";"print96",#N/A,FALSE,"1996E.XLS"}</definedName>
    <definedName name="ххх" hidden="1">{"print95",#N/A,FALSE,"1995E.XLS";"print96",#N/A,FALSE,"1996E.XLS"}</definedName>
    <definedName name="ЫВВЫВЫВ" hidden="1">#REF!</definedName>
  </definedNames>
  <calcPr calcId="162913"/>
</workbook>
</file>

<file path=xl/calcChain.xml><?xml version="1.0" encoding="utf-8"?>
<calcChain xmlns="http://schemas.openxmlformats.org/spreadsheetml/2006/main">
  <c r="L15" i="35" l="1"/>
  <c r="K15" i="35"/>
  <c r="E14" i="35"/>
  <c r="L14" i="35" s="1"/>
  <c r="K14" i="35" l="1"/>
  <c r="F14" i="35"/>
  <c r="I14" i="35" s="1"/>
  <c r="J14" i="35" s="1"/>
  <c r="M14" i="35" s="1"/>
  <c r="D35" i="35" l="1"/>
  <c r="E12" i="35"/>
  <c r="F12" i="35" s="1"/>
  <c r="E13" i="35"/>
  <c r="F13" i="35" s="1"/>
  <c r="I13" i="35" s="1"/>
  <c r="J13" i="35" s="1"/>
  <c r="E11" i="35"/>
  <c r="F11" i="35" s="1"/>
  <c r="I11" i="35" s="1"/>
  <c r="J11" i="35" s="1"/>
  <c r="G15" i="35"/>
  <c r="E10" i="35"/>
  <c r="F10" i="35" s="1"/>
  <c r="G4" i="35"/>
  <c r="G3" i="35"/>
  <c r="G5" i="33"/>
  <c r="E36" i="34"/>
  <c r="E37" i="34" s="1"/>
  <c r="E35" i="34"/>
  <c r="E29" i="34"/>
  <c r="E28" i="34"/>
  <c r="E27" i="34"/>
  <c r="E26" i="34"/>
  <c r="E30" i="34" s="1"/>
  <c r="C20" i="34"/>
  <c r="D20" i="34" s="1"/>
  <c r="G5" i="34" s="1"/>
  <c r="E14" i="34"/>
  <c r="K14" i="34" s="1"/>
  <c r="E13" i="34"/>
  <c r="F13" i="34" s="1"/>
  <c r="I13" i="34" s="1"/>
  <c r="J13" i="34" s="1"/>
  <c r="E12" i="34"/>
  <c r="F12" i="34" s="1"/>
  <c r="I12" i="34" s="1"/>
  <c r="J12" i="34" s="1"/>
  <c r="G16" i="34"/>
  <c r="E11" i="34"/>
  <c r="F11" i="34" s="1"/>
  <c r="I11" i="34" s="1"/>
  <c r="J11" i="34" s="1"/>
  <c r="E10" i="34"/>
  <c r="F10" i="34" s="1"/>
  <c r="G4" i="34"/>
  <c r="G3" i="34"/>
  <c r="G15" i="33"/>
  <c r="E12" i="33"/>
  <c r="K12" i="33" s="1"/>
  <c r="E11" i="33"/>
  <c r="F11" i="33" s="1"/>
  <c r="I11" i="33" s="1"/>
  <c r="J11" i="33" s="1"/>
  <c r="E10" i="33"/>
  <c r="F10" i="33" s="1"/>
  <c r="G3" i="33"/>
  <c r="G4" i="33"/>
  <c r="I12" i="35" l="1"/>
  <c r="F15" i="35"/>
  <c r="L12" i="35"/>
  <c r="K12" i="35"/>
  <c r="K11" i="35"/>
  <c r="L13" i="35"/>
  <c r="K13" i="35"/>
  <c r="L11" i="35"/>
  <c r="M11" i="35" s="1"/>
  <c r="K10" i="35"/>
  <c r="L10" i="35"/>
  <c r="I10" i="35"/>
  <c r="K11" i="34"/>
  <c r="L11" i="34"/>
  <c r="K10" i="34"/>
  <c r="L10" i="34"/>
  <c r="K13" i="34"/>
  <c r="M13" i="34" s="1"/>
  <c r="L14" i="34"/>
  <c r="K12" i="34"/>
  <c r="L13" i="34"/>
  <c r="L12" i="34"/>
  <c r="F14" i="34"/>
  <c r="I14" i="34" s="1"/>
  <c r="J14" i="34" s="1"/>
  <c r="F16" i="34"/>
  <c r="I10" i="34"/>
  <c r="L10" i="33"/>
  <c r="I10" i="33"/>
  <c r="K11" i="33"/>
  <c r="L12" i="33"/>
  <c r="K10" i="33"/>
  <c r="K15" i="33" s="1"/>
  <c r="L11" i="33"/>
  <c r="F12" i="33"/>
  <c r="I12" i="33" s="1"/>
  <c r="J12" i="33" s="1"/>
  <c r="M12" i="33" s="1"/>
  <c r="J12" i="35" l="1"/>
  <c r="I15" i="35"/>
  <c r="M12" i="35"/>
  <c r="M13" i="35"/>
  <c r="J10" i="35"/>
  <c r="M11" i="34"/>
  <c r="M14" i="34"/>
  <c r="K16" i="34"/>
  <c r="M12" i="34"/>
  <c r="L16" i="34"/>
  <c r="I16" i="34"/>
  <c r="J10" i="34"/>
  <c r="L15" i="33"/>
  <c r="M11" i="33"/>
  <c r="I15" i="33"/>
  <c r="J10" i="33"/>
  <c r="F15" i="33"/>
  <c r="J15" i="35" l="1"/>
  <c r="M15" i="35" s="1"/>
  <c r="G5" i="35" s="1"/>
  <c r="M10" i="35"/>
  <c r="J16" i="34"/>
  <c r="M16" i="34" s="1"/>
  <c r="M10" i="34"/>
  <c r="J15" i="33"/>
  <c r="M15" i="33" s="1"/>
  <c r="M10" i="33"/>
  <c r="T4" i="29" l="1"/>
  <c r="T5" i="29" s="1"/>
  <c r="T6" i="29" s="1"/>
  <c r="T7" i="29" s="1"/>
  <c r="T8" i="29" s="1"/>
  <c r="T9" i="29" s="1"/>
  <c r="S4" i="29"/>
  <c r="S5" i="29" s="1"/>
  <c r="S6" i="29" s="1"/>
  <c r="S7" i="29" s="1"/>
  <c r="S8" i="29" s="1"/>
  <c r="S9" i="29" s="1"/>
  <c r="R4" i="29"/>
  <c r="R5" i="29" s="1"/>
  <c r="R6" i="29" s="1"/>
  <c r="R7" i="29" s="1"/>
  <c r="R8" i="29" s="1"/>
  <c r="R9" i="29" s="1"/>
  <c r="Q4" i="29"/>
  <c r="U4" i="29" s="1"/>
  <c r="O4" i="29"/>
  <c r="O5" i="29" s="1"/>
  <c r="J4" i="29"/>
  <c r="J5" i="29" s="1"/>
  <c r="C4" i="29"/>
  <c r="C5" i="29" s="1"/>
  <c r="C6" i="29" s="1"/>
  <c r="C7" i="29" s="1"/>
  <c r="C8" i="29" s="1"/>
  <c r="C9" i="29" s="1"/>
  <c r="B4" i="29"/>
  <c r="B5" i="29" s="1"/>
  <c r="A4" i="29"/>
  <c r="A5" i="29" s="1"/>
  <c r="A6" i="29" s="1"/>
  <c r="A7" i="29" s="1"/>
  <c r="A8" i="29" s="1"/>
  <c r="A9" i="29" s="1"/>
  <c r="K3" i="29"/>
  <c r="L3" i="29" s="1"/>
  <c r="V3" i="29" s="1"/>
  <c r="W3" i="29" s="1"/>
  <c r="X3" i="29" s="1"/>
  <c r="T2" i="29"/>
  <c r="S2" i="29"/>
  <c r="R2" i="29"/>
  <c r="Q2" i="29"/>
  <c r="O2" i="29"/>
  <c r="J2" i="29"/>
  <c r="G2" i="29"/>
  <c r="F2" i="29"/>
  <c r="E2" i="29"/>
  <c r="C2" i="29"/>
  <c r="B2" i="29"/>
  <c r="A2" i="29"/>
  <c r="U2" i="29" l="1"/>
  <c r="H2" i="29"/>
  <c r="O6" i="29"/>
  <c r="B6" i="29"/>
  <c r="H5" i="29"/>
  <c r="K5" i="29" s="1"/>
  <c r="N2" i="29"/>
  <c r="M2" i="29"/>
  <c r="P2" i="29" s="1"/>
  <c r="I2" i="29"/>
  <c r="K2" i="29"/>
  <c r="L2" i="29" s="1"/>
  <c r="J6" i="29"/>
  <c r="Q5" i="29"/>
  <c r="H4" i="29"/>
  <c r="V2" i="29" l="1"/>
  <c r="W2" i="29" s="1"/>
  <c r="Z2" i="29" s="1"/>
  <c r="Z4" i="29" s="1"/>
  <c r="B7" i="29"/>
  <c r="H6" i="29"/>
  <c r="K6" i="29"/>
  <c r="J7" i="29"/>
  <c r="N4" i="29"/>
  <c r="N5" i="29" s="1"/>
  <c r="N6" i="29" s="1"/>
  <c r="N7" i="29" s="1"/>
  <c r="N8" i="29" s="1"/>
  <c r="N9" i="29" s="1"/>
  <c r="M4" i="29"/>
  <c r="I4" i="29"/>
  <c r="K4" i="29"/>
  <c r="L4" i="29" s="1"/>
  <c r="Q6" i="29"/>
  <c r="U5" i="29"/>
  <c r="O7" i="29"/>
  <c r="X2" i="29" l="1"/>
  <c r="Y2" i="29" s="1"/>
  <c r="D4" i="29"/>
  <c r="E5" i="29" s="1"/>
  <c r="J8" i="29"/>
  <c r="O8" i="29"/>
  <c r="B8" i="29"/>
  <c r="H7" i="29"/>
  <c r="Q7" i="29"/>
  <c r="U6" i="29"/>
  <c r="V4" i="29"/>
  <c r="W4" i="29" s="1"/>
  <c r="P4" i="29"/>
  <c r="P5" i="29" s="1"/>
  <c r="M5" i="29"/>
  <c r="M6" i="29" s="1"/>
  <c r="M7" i="29" s="1"/>
  <c r="M8" i="29" s="1"/>
  <c r="M9" i="29" s="1"/>
  <c r="P6" i="29" l="1"/>
  <c r="Q8" i="29"/>
  <c r="U7" i="29"/>
  <c r="J9" i="29"/>
  <c r="B9" i="29"/>
  <c r="H9" i="29" s="1"/>
  <c r="H8" i="29"/>
  <c r="K8" i="29" s="1"/>
  <c r="K7" i="29"/>
  <c r="O9" i="29"/>
  <c r="L5" i="29"/>
  <c r="I5" i="29"/>
  <c r="K9" i="29" l="1"/>
  <c r="Q9" i="29"/>
  <c r="U9" i="29" s="1"/>
  <c r="U8" i="29"/>
  <c r="V5" i="29"/>
  <c r="W5" i="29" s="1"/>
  <c r="X5" i="29" s="1"/>
  <c r="Y5" i="29" s="1"/>
  <c r="P7" i="29"/>
  <c r="P8" i="29" l="1"/>
  <c r="Z5" i="29"/>
  <c r="D5" i="29" s="1"/>
  <c r="E6" i="29" s="1"/>
  <c r="I6" i="29" l="1"/>
  <c r="L6" i="29"/>
  <c r="P9" i="29"/>
  <c r="V6" i="29" l="1"/>
  <c r="W6" i="29" s="1"/>
  <c r="X6" i="29" s="1"/>
  <c r="Y6" i="29" s="1"/>
  <c r="Z6" i="29" l="1"/>
  <c r="D6" i="29" s="1"/>
  <c r="E7" i="29" s="1"/>
  <c r="I7" i="29" l="1"/>
  <c r="L7" i="29"/>
  <c r="V7" i="29" l="1"/>
  <c r="W7" i="29" s="1"/>
  <c r="X7" i="29" s="1"/>
  <c r="Y7" i="29" s="1"/>
  <c r="Z7" i="29" l="1"/>
  <c r="D7" i="29" s="1"/>
  <c r="E8" i="29" s="1"/>
  <c r="L8" i="29" l="1"/>
  <c r="I8" i="29"/>
  <c r="V8" i="29" l="1"/>
  <c r="W8" i="29" s="1"/>
  <c r="X8" i="29" s="1"/>
  <c r="Y8" i="29" s="1"/>
  <c r="Z8" i="29" l="1"/>
  <c r="D8" i="29" s="1"/>
  <c r="E9" i="29" s="1"/>
  <c r="I9" i="29" l="1"/>
  <c r="L9" i="29"/>
  <c r="V9" i="29" l="1"/>
  <c r="W9" i="29" s="1"/>
  <c r="X9" i="29" s="1"/>
  <c r="Y9" i="29" s="1"/>
  <c r="Z9" i="29" l="1"/>
  <c r="C66" i="16" l="1"/>
  <c r="C65" i="16"/>
  <c r="C9" i="17"/>
  <c r="I9" i="17" s="1"/>
  <c r="I7" i="17"/>
  <c r="I8" i="17"/>
  <c r="I6" i="17"/>
  <c r="H9" i="17"/>
  <c r="G9" i="17"/>
  <c r="F9" i="17"/>
  <c r="E9" i="17"/>
  <c r="D9" i="17"/>
  <c r="C61" i="16"/>
  <c r="C62" i="16"/>
  <c r="C63" i="16"/>
  <c r="C64" i="16"/>
  <c r="C67" i="16"/>
  <c r="C68" i="16"/>
  <c r="C69" i="16"/>
  <c r="C70" i="16"/>
  <c r="C71" i="16"/>
  <c r="C72" i="16"/>
  <c r="C73" i="16"/>
  <c r="C74" i="16"/>
  <c r="C75" i="16"/>
  <c r="C60" i="16"/>
  <c r="L181" i="15"/>
  <c r="H181" i="15"/>
  <c r="D181" i="15"/>
  <c r="L180" i="15"/>
  <c r="H180" i="15"/>
  <c r="D180" i="15"/>
  <c r="L179" i="15"/>
  <c r="H179" i="15"/>
  <c r="D179" i="15"/>
  <c r="L178" i="15"/>
  <c r="H178" i="15"/>
  <c r="D178" i="15"/>
  <c r="L177" i="15"/>
  <c r="H177" i="15"/>
  <c r="D177" i="15"/>
  <c r="L176" i="15"/>
  <c r="H176" i="15"/>
  <c r="D176" i="15"/>
  <c r="L175" i="15"/>
  <c r="H175" i="15"/>
  <c r="D175" i="15"/>
  <c r="L174" i="15"/>
  <c r="H174" i="15"/>
  <c r="D174" i="15"/>
  <c r="L173" i="15"/>
  <c r="H173" i="15"/>
  <c r="D173" i="15"/>
  <c r="L172" i="15"/>
  <c r="H172" i="15"/>
  <c r="D172" i="15"/>
  <c r="L171" i="15"/>
  <c r="H171" i="15"/>
  <c r="D171" i="15"/>
  <c r="L170" i="15"/>
  <c r="H170" i="15"/>
  <c r="D170" i="15"/>
  <c r="L169" i="15"/>
  <c r="H169" i="15"/>
  <c r="D169" i="15"/>
  <c r="L168" i="15"/>
  <c r="H168" i="15"/>
  <c r="D168" i="15"/>
  <c r="L167" i="15"/>
  <c r="H167" i="15"/>
  <c r="D167" i="15"/>
  <c r="L166" i="15"/>
  <c r="H166" i="15"/>
  <c r="D166" i="15"/>
  <c r="L165" i="15"/>
  <c r="H165" i="15"/>
  <c r="D165" i="15"/>
  <c r="L164" i="15"/>
  <c r="H164" i="15"/>
  <c r="D164" i="15"/>
  <c r="L163" i="15"/>
  <c r="H163" i="15"/>
  <c r="D163" i="15"/>
  <c r="L162" i="15"/>
  <c r="H162" i="15"/>
  <c r="D162" i="15"/>
  <c r="L161" i="15"/>
  <c r="H161" i="15"/>
  <c r="D161" i="15"/>
  <c r="L160" i="15"/>
  <c r="H160" i="15"/>
  <c r="D160" i="15"/>
  <c r="L159" i="15"/>
  <c r="H159" i="15"/>
  <c r="D159" i="15"/>
  <c r="L158" i="15"/>
  <c r="H158" i="15"/>
  <c r="D158" i="15"/>
  <c r="L157" i="15"/>
  <c r="H157" i="15"/>
  <c r="D157" i="15"/>
  <c r="L156" i="15"/>
  <c r="H156" i="15"/>
  <c r="D156" i="15"/>
  <c r="L155" i="15"/>
  <c r="H155" i="15"/>
  <c r="D155" i="15"/>
  <c r="L154" i="15"/>
  <c r="H154" i="15"/>
  <c r="D154" i="15"/>
  <c r="L153" i="15"/>
  <c r="H153" i="15"/>
  <c r="D153" i="15"/>
  <c r="L152" i="15"/>
  <c r="H152" i="15"/>
  <c r="D152" i="15"/>
  <c r="L151" i="15"/>
  <c r="H151" i="15"/>
  <c r="D151" i="15"/>
  <c r="L150" i="15"/>
  <c r="H150" i="15"/>
  <c r="D150" i="15"/>
  <c r="L149" i="15"/>
  <c r="H149" i="15"/>
  <c r="D149" i="15"/>
  <c r="L148" i="15"/>
  <c r="H148" i="15"/>
  <c r="D148" i="15"/>
  <c r="L147" i="15"/>
  <c r="H147" i="15"/>
  <c r="D147" i="15"/>
  <c r="L146" i="15"/>
  <c r="H146" i="15"/>
  <c r="D146" i="15"/>
  <c r="L145" i="15"/>
  <c r="H145" i="15"/>
  <c r="D145" i="15"/>
  <c r="L144" i="15"/>
  <c r="H144" i="15"/>
  <c r="D144" i="15"/>
  <c r="L143" i="15"/>
  <c r="H143" i="15"/>
  <c r="D143" i="15"/>
  <c r="L142" i="15"/>
  <c r="H142" i="15"/>
  <c r="D142" i="15"/>
  <c r="L141" i="15"/>
  <c r="H141" i="15"/>
  <c r="D141" i="15"/>
  <c r="L140" i="15"/>
  <c r="H140" i="15"/>
  <c r="D140" i="15"/>
  <c r="L139" i="15"/>
  <c r="H139" i="15"/>
  <c r="D139" i="15"/>
  <c r="L138" i="15"/>
  <c r="H138" i="15"/>
  <c r="D138" i="15"/>
  <c r="L137" i="15"/>
  <c r="H137" i="15"/>
  <c r="D137" i="15"/>
  <c r="L136" i="15"/>
  <c r="H136" i="15"/>
  <c r="D136" i="15"/>
  <c r="L135" i="15"/>
  <c r="H135" i="15"/>
  <c r="D135" i="15"/>
  <c r="L134" i="15"/>
  <c r="H134" i="15"/>
  <c r="D134" i="15"/>
  <c r="L133" i="15"/>
  <c r="H133" i="15"/>
  <c r="D133" i="15"/>
  <c r="L132" i="15"/>
  <c r="H132" i="15"/>
  <c r="D132" i="15"/>
  <c r="L131" i="15"/>
  <c r="H131" i="15"/>
  <c r="D131" i="15"/>
  <c r="L130" i="15"/>
  <c r="H130" i="15"/>
  <c r="D130" i="15"/>
  <c r="L129" i="15"/>
  <c r="H129" i="15"/>
  <c r="D129" i="15"/>
  <c r="L128" i="15"/>
  <c r="H128" i="15"/>
  <c r="D128" i="15"/>
  <c r="L127" i="15"/>
  <c r="H127" i="15"/>
  <c r="D127" i="15"/>
  <c r="L126" i="15"/>
  <c r="H126" i="15"/>
  <c r="D126" i="15"/>
  <c r="L125" i="15"/>
  <c r="H125" i="15"/>
  <c r="D125" i="15"/>
  <c r="L124" i="15"/>
  <c r="H124" i="15"/>
  <c r="D124" i="15"/>
  <c r="L123" i="15"/>
  <c r="H123" i="15"/>
  <c r="D123" i="15"/>
  <c r="L122" i="15"/>
  <c r="H122" i="15"/>
  <c r="D122" i="15"/>
  <c r="L121" i="15"/>
  <c r="H121" i="15"/>
  <c r="D121" i="15"/>
  <c r="L120" i="15"/>
  <c r="H120" i="15"/>
  <c r="D120" i="15"/>
  <c r="L119" i="15"/>
  <c r="H119" i="15"/>
  <c r="D119" i="15"/>
  <c r="L118" i="15"/>
  <c r="H118" i="15"/>
  <c r="D118" i="15"/>
  <c r="L117" i="15"/>
  <c r="H117" i="15"/>
  <c r="D117" i="15"/>
  <c r="L116" i="15"/>
  <c r="H116" i="15"/>
  <c r="D116" i="15"/>
  <c r="L115" i="15"/>
  <c r="H115" i="15"/>
  <c r="D115" i="15"/>
  <c r="L114" i="15"/>
  <c r="H114" i="15"/>
  <c r="D114" i="15"/>
  <c r="L113" i="15"/>
  <c r="H113" i="15"/>
  <c r="D113" i="15"/>
  <c r="L112" i="15"/>
  <c r="H112" i="15"/>
  <c r="D112" i="15"/>
  <c r="L111" i="15"/>
  <c r="H111" i="15"/>
  <c r="D111" i="15"/>
  <c r="L110" i="15"/>
  <c r="H110" i="15"/>
  <c r="D110" i="15"/>
  <c r="L109" i="15"/>
  <c r="H109" i="15"/>
  <c r="D109" i="15"/>
  <c r="L108" i="15"/>
  <c r="H108" i="15"/>
  <c r="D108" i="15"/>
  <c r="L107" i="15"/>
  <c r="H107" i="15"/>
  <c r="D107" i="15"/>
  <c r="L106" i="15"/>
  <c r="H106" i="15"/>
  <c r="D106" i="15"/>
  <c r="L105" i="15"/>
  <c r="H105" i="15"/>
  <c r="D105" i="15"/>
  <c r="L104" i="15"/>
  <c r="H104" i="15"/>
  <c r="D104" i="15"/>
  <c r="L103" i="15"/>
  <c r="H103" i="15"/>
  <c r="D103" i="15"/>
  <c r="L102" i="15"/>
  <c r="H102" i="15"/>
  <c r="D102" i="15"/>
  <c r="L101" i="15"/>
  <c r="H101" i="15"/>
  <c r="D101" i="15"/>
  <c r="L100" i="15"/>
  <c r="H100" i="15"/>
  <c r="D100" i="15"/>
  <c r="L99" i="15"/>
  <c r="H99" i="15"/>
  <c r="D99" i="15"/>
  <c r="L98" i="15"/>
  <c r="H98" i="15"/>
  <c r="D98" i="15"/>
  <c r="L97" i="15"/>
  <c r="H97" i="15"/>
  <c r="D97" i="15"/>
  <c r="L96" i="15"/>
  <c r="H96" i="15"/>
  <c r="D96" i="15"/>
  <c r="L95" i="15"/>
  <c r="H95" i="15"/>
  <c r="D95" i="15"/>
  <c r="L94" i="15"/>
  <c r="H94" i="15"/>
  <c r="D94" i="15"/>
  <c r="L93" i="15"/>
  <c r="H93" i="15"/>
  <c r="D93" i="15"/>
  <c r="L92" i="15"/>
  <c r="H92" i="15"/>
  <c r="D92" i="15"/>
  <c r="L91" i="15"/>
  <c r="H91" i="15"/>
  <c r="D91" i="15"/>
  <c r="L90" i="15"/>
  <c r="H90" i="15"/>
  <c r="D90" i="15"/>
  <c r="L89" i="15"/>
  <c r="H89" i="15"/>
  <c r="D89" i="15"/>
  <c r="L88" i="15"/>
  <c r="H88" i="15"/>
  <c r="D88" i="15"/>
  <c r="L87" i="15"/>
  <c r="H87" i="15"/>
  <c r="D87" i="15"/>
  <c r="L86" i="15"/>
  <c r="H86" i="15"/>
  <c r="D86" i="15"/>
  <c r="L85" i="15"/>
  <c r="H85" i="15"/>
  <c r="D85" i="15"/>
  <c r="L84" i="15"/>
  <c r="H84" i="15"/>
  <c r="D84" i="15"/>
  <c r="L83" i="15"/>
  <c r="H83" i="15"/>
  <c r="D83" i="15"/>
  <c r="L82" i="15"/>
  <c r="H82" i="15"/>
  <c r="D82" i="15"/>
  <c r="L81" i="15"/>
  <c r="H81" i="15"/>
  <c r="D81" i="15"/>
  <c r="L80" i="15"/>
  <c r="H80" i="15"/>
  <c r="D80" i="15"/>
  <c r="L79" i="15"/>
  <c r="H79" i="15"/>
  <c r="D79" i="15"/>
  <c r="L78" i="15"/>
  <c r="H78" i="15"/>
  <c r="D78" i="15"/>
  <c r="L77" i="15"/>
  <c r="H77" i="15"/>
  <c r="D77" i="15"/>
  <c r="L76" i="15"/>
  <c r="H76" i="15"/>
  <c r="D76" i="15"/>
  <c r="L75" i="15"/>
  <c r="H75" i="15"/>
  <c r="D75" i="15"/>
  <c r="L74" i="15"/>
  <c r="H74" i="15"/>
  <c r="D74" i="15"/>
  <c r="L73" i="15"/>
  <c r="H73" i="15"/>
  <c r="D73" i="15"/>
  <c r="L72" i="15"/>
  <c r="H72" i="15"/>
  <c r="D72" i="15"/>
  <c r="L71" i="15"/>
  <c r="H71" i="15"/>
  <c r="D71" i="15"/>
  <c r="L70" i="15"/>
  <c r="H70" i="15"/>
  <c r="D70" i="15"/>
  <c r="L69" i="15"/>
  <c r="H69" i="15"/>
  <c r="D69" i="15"/>
  <c r="L68" i="15"/>
  <c r="H68" i="15"/>
  <c r="D68" i="15"/>
  <c r="L67" i="15"/>
  <c r="H67" i="15"/>
  <c r="D67" i="15"/>
  <c r="L66" i="15"/>
  <c r="H66" i="15"/>
  <c r="D66" i="15"/>
  <c r="L65" i="15"/>
  <c r="H65" i="15"/>
  <c r="D65" i="15"/>
  <c r="L64" i="15"/>
  <c r="H64" i="15"/>
  <c r="D64" i="15"/>
  <c r="L63" i="15"/>
  <c r="H63" i="15"/>
  <c r="D63" i="15"/>
  <c r="L62" i="15"/>
  <c r="H62" i="15"/>
  <c r="D62" i="15"/>
  <c r="L61" i="15"/>
  <c r="H61" i="15"/>
  <c r="D61" i="15"/>
  <c r="L60" i="15"/>
  <c r="H60" i="15"/>
  <c r="D60" i="15"/>
  <c r="L59" i="15"/>
  <c r="H59" i="15"/>
  <c r="D59" i="15"/>
  <c r="L58" i="15"/>
  <c r="H58" i="15"/>
  <c r="D58" i="15"/>
  <c r="L57" i="15"/>
  <c r="H57" i="15"/>
  <c r="D57" i="15"/>
  <c r="L56" i="15"/>
  <c r="H56" i="15"/>
  <c r="D56" i="15"/>
  <c r="L55" i="15"/>
  <c r="H55" i="15"/>
  <c r="D55" i="15"/>
  <c r="L54" i="15"/>
  <c r="H54" i="15"/>
  <c r="D54" i="15"/>
  <c r="L53" i="15"/>
  <c r="H53" i="15"/>
  <c r="D53" i="15"/>
  <c r="L52" i="15"/>
  <c r="H52" i="15"/>
  <c r="D52" i="15"/>
  <c r="L51" i="15"/>
  <c r="H51" i="15"/>
  <c r="D51" i="15"/>
  <c r="L50" i="15"/>
  <c r="H50" i="15"/>
  <c r="D50" i="15"/>
  <c r="L49" i="15"/>
  <c r="H49" i="15"/>
  <c r="D49" i="15"/>
  <c r="L48" i="15"/>
  <c r="H48" i="15"/>
  <c r="D48" i="15"/>
  <c r="L47" i="15"/>
  <c r="H47" i="15"/>
  <c r="D47" i="15"/>
  <c r="L46" i="15"/>
  <c r="H46" i="15"/>
  <c r="D46" i="15"/>
  <c r="L45" i="15"/>
  <c r="H45" i="15"/>
  <c r="D45" i="15"/>
  <c r="L44" i="15"/>
  <c r="H44" i="15"/>
  <c r="D44" i="15"/>
  <c r="L43" i="15"/>
  <c r="H43" i="15"/>
  <c r="D43" i="15"/>
  <c r="L42" i="15"/>
  <c r="H42" i="15"/>
  <c r="D42" i="15"/>
  <c r="L41" i="15"/>
  <c r="H41" i="15"/>
  <c r="D41" i="15"/>
  <c r="L40" i="15"/>
  <c r="H40" i="15"/>
  <c r="D40" i="15"/>
  <c r="L39" i="15"/>
  <c r="H39" i="15"/>
  <c r="D39" i="15"/>
  <c r="L38" i="15"/>
  <c r="H38" i="15"/>
  <c r="D38" i="15"/>
  <c r="L37" i="15"/>
  <c r="H37" i="15"/>
  <c r="D37" i="15"/>
  <c r="L36" i="15"/>
  <c r="H36" i="15"/>
  <c r="D36" i="15"/>
  <c r="L35" i="15"/>
  <c r="H35" i="15"/>
  <c r="D35" i="15"/>
  <c r="L34" i="15"/>
  <c r="H34" i="15"/>
  <c r="D34" i="15"/>
  <c r="L33" i="15"/>
  <c r="H33" i="15"/>
  <c r="D33" i="15"/>
  <c r="L32" i="15"/>
  <c r="H32" i="15"/>
  <c r="D32" i="15"/>
  <c r="L31" i="15"/>
  <c r="H31" i="15"/>
  <c r="D31" i="15"/>
  <c r="L30" i="15"/>
  <c r="H30" i="15"/>
  <c r="D30" i="15"/>
  <c r="L29" i="15"/>
  <c r="H29" i="15"/>
  <c r="D29" i="15"/>
  <c r="L28" i="15"/>
  <c r="H28" i="15"/>
  <c r="D28" i="15"/>
  <c r="L27" i="15"/>
  <c r="H27" i="15"/>
  <c r="D27" i="15"/>
  <c r="L26" i="15"/>
  <c r="H26" i="15"/>
  <c r="D26" i="15"/>
  <c r="L25" i="15"/>
  <c r="H25" i="15"/>
  <c r="D25" i="15"/>
  <c r="L24" i="15"/>
  <c r="H24" i="15"/>
  <c r="D24" i="15"/>
  <c r="L23" i="15"/>
  <c r="H23" i="15"/>
  <c r="D23" i="15"/>
  <c r="L22" i="15"/>
  <c r="H22" i="15"/>
  <c r="D22" i="15"/>
  <c r="L21" i="15"/>
  <c r="H21" i="15"/>
  <c r="D21" i="15"/>
  <c r="L20" i="15"/>
  <c r="H20" i="15"/>
  <c r="D20" i="15"/>
  <c r="L19" i="15"/>
  <c r="H19" i="15"/>
  <c r="D19" i="15"/>
  <c r="L18" i="15"/>
  <c r="H18" i="15"/>
  <c r="D18" i="15"/>
  <c r="L17" i="15"/>
  <c r="H17" i="15"/>
  <c r="D17" i="15"/>
  <c r="L16" i="15"/>
  <c r="H16" i="15"/>
  <c r="D16" i="15"/>
  <c r="L15" i="15"/>
  <c r="H15" i="15"/>
  <c r="D15" i="15"/>
  <c r="L14" i="15"/>
  <c r="H14" i="15"/>
  <c r="D14" i="15"/>
  <c r="L13" i="15"/>
  <c r="H13" i="15"/>
  <c r="D13" i="15"/>
  <c r="L12" i="15"/>
  <c r="H12" i="15"/>
  <c r="D12" i="15"/>
  <c r="L11" i="15"/>
  <c r="H11" i="15"/>
  <c r="D11" i="15"/>
  <c r="L10" i="15"/>
  <c r="H10" i="15"/>
  <c r="D10" i="15"/>
  <c r="L9" i="15"/>
  <c r="H9" i="15"/>
  <c r="D9" i="15"/>
  <c r="L8" i="15"/>
  <c r="H8" i="15"/>
  <c r="D8" i="15"/>
  <c r="L7" i="15"/>
  <c r="H7" i="15"/>
  <c r="D7" i="15"/>
  <c r="L6" i="15"/>
  <c r="H6" i="15"/>
  <c r="D6" i="15"/>
  <c r="L5" i="15"/>
  <c r="H5" i="15"/>
  <c r="D5" i="15"/>
  <c r="L4" i="15"/>
  <c r="H4" i="15"/>
  <c r="D4" i="15"/>
  <c r="L3" i="15"/>
  <c r="H3" i="15"/>
  <c r="D3" i="15"/>
</calcChain>
</file>

<file path=xl/comments1.xml><?xml version="1.0" encoding="utf-8"?>
<comments xmlns="http://schemas.openxmlformats.org/spreadsheetml/2006/main">
  <authors>
    <author>Zhanna Saenko</author>
  </authors>
  <commentList>
    <comment ref="D30" authorId="0" shapeId="0">
      <text>
        <r>
          <rPr>
            <b/>
            <sz val="9"/>
            <color indexed="81"/>
            <rFont val="Tahoma"/>
            <family val="2"/>
            <charset val="204"/>
          </rPr>
          <t>делиться на прямые и косвенные по департаментам, надо согласовать и возможно пересмотреть, т.к. матрица анлитик не соответствует фактическому распределению</t>
        </r>
      </text>
    </comment>
  </commentList>
</comments>
</file>

<file path=xl/sharedStrings.xml><?xml version="1.0" encoding="utf-8"?>
<sst xmlns="http://schemas.openxmlformats.org/spreadsheetml/2006/main" count="10554" uniqueCount="832">
  <si>
    <t xml:space="preserve">Наименование </t>
  </si>
  <si>
    <t>Заработная плата</t>
  </si>
  <si>
    <t>Заработная плата НПР</t>
  </si>
  <si>
    <t>Премиальные выплаты</t>
  </si>
  <si>
    <t>Страховые взносы</t>
  </si>
  <si>
    <t>Премиальные выплаты НПР</t>
  </si>
  <si>
    <t>Страховые взносы НПР</t>
  </si>
  <si>
    <t>Оплата по договорам ГПХ</t>
  </si>
  <si>
    <t>Лабораторное оборудование</t>
  </si>
  <si>
    <t>Компьютерное оборудование</t>
  </si>
  <si>
    <t>Телеком оборудование</t>
  </si>
  <si>
    <t>Сетевое оборудование</t>
  </si>
  <si>
    <t>Серверное оборудование</t>
  </si>
  <si>
    <t>Материалы для лабораторий</t>
  </si>
  <si>
    <t>Прочие материалы</t>
  </si>
  <si>
    <t>Материалы ИТ</t>
  </si>
  <si>
    <t>Накладные расходы по проектам</t>
  </si>
  <si>
    <t>Консультационные услуги</t>
  </si>
  <si>
    <t>Командировочные : транспорт</t>
  </si>
  <si>
    <t>Командировочные : проживание</t>
  </si>
  <si>
    <t>Командировочные : суточные</t>
  </si>
  <si>
    <t>Командировочные : суточные сверх норм</t>
  </si>
  <si>
    <t>Командировочные : сервисные сборы</t>
  </si>
  <si>
    <t>Командировочные расходы прочие</t>
  </si>
  <si>
    <t>Аренда оборудования</t>
  </si>
  <si>
    <t>Ремонт лабораторий (некапитальный)</t>
  </si>
  <si>
    <t>Аренда лабораторных помещений</t>
  </si>
  <si>
    <t>ИТ обслуживание</t>
  </si>
  <si>
    <t>Представительские расходы</t>
  </si>
  <si>
    <t>Повышение квалификации и подготовка НПР</t>
  </si>
  <si>
    <t>Мероприятия регистрационный взнос</t>
  </si>
  <si>
    <t>Мероприятия кейтеринг</t>
  </si>
  <si>
    <t>Мероприятия транспортные услуги</t>
  </si>
  <si>
    <t>Мероприятия приглашенные участники</t>
  </si>
  <si>
    <t>Мероприятия прочие расходы</t>
  </si>
  <si>
    <t>Прочие профессиональные услуги (не ГПХ)</t>
  </si>
  <si>
    <t>Мебель лабораторная</t>
  </si>
  <si>
    <t>Прочее оборудование</t>
  </si>
  <si>
    <t>Программное обеспечение</t>
  </si>
  <si>
    <t>Неисключительные права на ПО</t>
  </si>
  <si>
    <t>ИТ оборудование и комплектующие</t>
  </si>
  <si>
    <t>Юридические услуги - прочие</t>
  </si>
  <si>
    <t>Юридические услуги - перевод на ин.яз.</t>
  </si>
  <si>
    <t>Членство в научных и проф. сообществах</t>
  </si>
  <si>
    <t>Выплаты по грантам (без НДФЛ)</t>
  </si>
  <si>
    <t>Выплаты по грантам (с НДФЛ)</t>
  </si>
  <si>
    <t>Услуги таможенного брокера</t>
  </si>
  <si>
    <t>Оборудование и проч. МА (Equipment and other FA</t>
  </si>
  <si>
    <t>Программное обеспечение (Software and IT licenses)</t>
  </si>
  <si>
    <t>Материалы и малоценное оборудование</t>
  </si>
  <si>
    <t>Прочие оборотные активы</t>
  </si>
  <si>
    <t>Оплата труда (Salaries &amp; Wages)</t>
  </si>
  <si>
    <t>Страховые взносы во внебюджетные фонды (Payroll Tax)</t>
  </si>
  <si>
    <t>Социальные выплаты и льготы (Employee benefits)</t>
  </si>
  <si>
    <t>Прочие расходы коммерческой деятельности</t>
  </si>
  <si>
    <t>Расходы на мероприятия (Events costs)</t>
  </si>
  <si>
    <t>Консультационные и PR расходы для целей развития (Consulting)</t>
  </si>
  <si>
    <t>Профессиональные услуги для текущей деятельности (Professional services)</t>
  </si>
  <si>
    <t>Затраты на офис и проч. Хоз. Расходы (Office and suppliers)</t>
  </si>
  <si>
    <t>Командировочные и представительские расходы (Travel and rep. expenses)</t>
  </si>
  <si>
    <t>Категория</t>
  </si>
  <si>
    <t>Статья</t>
  </si>
  <si>
    <t>Оплата труда НПР (Salaries &amp; Wages SP)</t>
  </si>
  <si>
    <t>Доходы от предоставляемых  услуг</t>
  </si>
  <si>
    <t>Прочие доходы от услуг</t>
  </si>
  <si>
    <t>302001_Equipment for laboratories (&gt;40 000 RUR)</t>
  </si>
  <si>
    <t>302002_Equipment for laboratories (&lt;40 000 RUR)</t>
  </si>
  <si>
    <t>302003_Equipment for office (&gt;40 000 RUR)</t>
  </si>
  <si>
    <t>302004_Equipment for office (&lt;40 000 RUR)</t>
  </si>
  <si>
    <t>302005_Equipment -  telecommunications</t>
  </si>
  <si>
    <t>302007_Equipment - servers</t>
  </si>
  <si>
    <t>302008_Equipment - computer facility</t>
  </si>
  <si>
    <t>302009_Engineering systems</t>
  </si>
  <si>
    <t>302010_Equipment - IT  (&lt;40 000 RUR)</t>
  </si>
  <si>
    <t>302998_Equipment - other (&gt;40 000 RUR)</t>
  </si>
  <si>
    <t>702003_Legal services - other</t>
  </si>
  <si>
    <t>702004_Translation services</t>
  </si>
  <si>
    <t>703003_Outstaffing services</t>
  </si>
  <si>
    <t>703999_Other proffessional services</t>
  </si>
  <si>
    <t>204001_Daily allowance within the limits</t>
  </si>
  <si>
    <t>204003_Accommodation</t>
  </si>
  <si>
    <t>204004_Transport expenses</t>
  </si>
  <si>
    <t>204005_Services fee</t>
  </si>
  <si>
    <t>204999_Other</t>
  </si>
  <si>
    <t>305001_Rent - laboratory premises</t>
  </si>
  <si>
    <t>305004_Rent - research equipment</t>
  </si>
  <si>
    <t>305999_Rent - other</t>
  </si>
  <si>
    <t>407001_Voluntary health and travel insurance - employees</t>
  </si>
  <si>
    <t>408001_Freelance fee (research)</t>
  </si>
  <si>
    <t>408002_Freelance fee (exc. research)</t>
  </si>
  <si>
    <t>304001_Materials for laboratories</t>
  </si>
  <si>
    <t>304999_Materials - other</t>
  </si>
  <si>
    <t>304004_Books and periodicals</t>
  </si>
  <si>
    <t>304005_Subscriptions to online databases</t>
  </si>
  <si>
    <t>302999_Equipment - other (&lt;40 000 RUR)</t>
  </si>
  <si>
    <t>702002_Consulting services</t>
  </si>
  <si>
    <t>201001_Representative expenses</t>
  </si>
  <si>
    <t>301004_Software_exclusive</t>
  </si>
  <si>
    <t>301005_Software_non-exclusive</t>
  </si>
  <si>
    <t>301999_Other intangible assets</t>
  </si>
  <si>
    <t>306106_Software maintenance</t>
  </si>
  <si>
    <t>203001_Invitation expenses</t>
  </si>
  <si>
    <t>203002_Registration expenses</t>
  </si>
  <si>
    <t>203003_Catering</t>
  </si>
  <si>
    <t>203005_Transport expenses</t>
  </si>
  <si>
    <t>203006_Rent for events</t>
  </si>
  <si>
    <t>203999_Other</t>
  </si>
  <si>
    <t>201002_Membership fees (scientific and professional communities)</t>
  </si>
  <si>
    <t>Account</t>
  </si>
  <si>
    <t>202004_Branded and promo materials</t>
  </si>
  <si>
    <t>202006_Trademarks and brands</t>
  </si>
  <si>
    <t>205003_Patents and licenses</t>
  </si>
  <si>
    <t>205004_Publications</t>
  </si>
  <si>
    <t>299001_Other Institute development costs</t>
  </si>
  <si>
    <t>303001_Furniture for labaratories (&gt;40 000 RUR)</t>
  </si>
  <si>
    <t>303002_Furniture for laboratories (&lt;40 000 RUR)</t>
  </si>
  <si>
    <t>303003_Furniture for office (&gt;40 000 RUR)</t>
  </si>
  <si>
    <t>303004_Furniture for office (&lt;40 000 RUR)</t>
  </si>
  <si>
    <t>303005_Furniture other (&gt;40 000 RUR)</t>
  </si>
  <si>
    <t>303006_Furniture other (&lt;40 000 RUR)</t>
  </si>
  <si>
    <t>304003_Stationery and other office consumables</t>
  </si>
  <si>
    <t>306001_Repair of laboratories (CAPEX)</t>
  </si>
  <si>
    <t>306101_Repair of laboratories (OPEX)</t>
  </si>
  <si>
    <t>307005_Postal and courier expenses</t>
  </si>
  <si>
    <t>308001_Logistic/transport expenses</t>
  </si>
  <si>
    <t>403001_Grant payments</t>
  </si>
  <si>
    <t>404001_Remuneration for an invention (research)</t>
  </si>
  <si>
    <t>Group</t>
  </si>
  <si>
    <t>201000_Representative expenses</t>
  </si>
  <si>
    <t>202000_PR and marketing</t>
  </si>
  <si>
    <t>203000_Events</t>
  </si>
  <si>
    <t>204000_Business trips</t>
  </si>
  <si>
    <t>205000_Research activity delopment expenses</t>
  </si>
  <si>
    <t>299000_Other Institute development costs</t>
  </si>
  <si>
    <t>301000_Intangible assets - purchase</t>
  </si>
  <si>
    <t>302000_Equipment purchase</t>
  </si>
  <si>
    <t>303000_Furniture purchase</t>
  </si>
  <si>
    <t>304000_Materials purchase</t>
  </si>
  <si>
    <t>305000_Rent operating/finance</t>
  </si>
  <si>
    <t>306000_Repair and maintenance</t>
  </si>
  <si>
    <t>307000_Facility servicing</t>
  </si>
  <si>
    <t>308000_Transport expenses</t>
  </si>
  <si>
    <t>401000_Salary</t>
  </si>
  <si>
    <t>402000_Bonus</t>
  </si>
  <si>
    <t>403000_Grant payments</t>
  </si>
  <si>
    <t>404000_Remuneration for an invention</t>
  </si>
  <si>
    <t>405000_Compensations and benefits - employees</t>
  </si>
  <si>
    <t>406000_Social insurance contribution</t>
  </si>
  <si>
    <t>407000_Insurance</t>
  </si>
  <si>
    <t>411000_Freelance</t>
  </si>
  <si>
    <t>702000_Consulting and legal services</t>
  </si>
  <si>
    <t>703000_Other professional services</t>
  </si>
  <si>
    <t>200000_Institute development costs</t>
  </si>
  <si>
    <t>300000_Supplies and utilities</t>
  </si>
  <si>
    <t>400000_Personnel related expenses</t>
  </si>
  <si>
    <t>700000_Professional services</t>
  </si>
  <si>
    <t>Type</t>
  </si>
  <si>
    <t>600000_Finance expenses</t>
  </si>
  <si>
    <t>699000_Technical account</t>
  </si>
  <si>
    <t>699009_Overheads for projects</t>
  </si>
  <si>
    <t>Total</t>
  </si>
  <si>
    <t>401001_Salary - faculty</t>
  </si>
  <si>
    <t>401002_Salary - academic</t>
  </si>
  <si>
    <t>402001_Bonus - faculty</t>
  </si>
  <si>
    <t>402002_Bonus - academic</t>
  </si>
  <si>
    <t>406001_Social insurance contribution - faculty</t>
  </si>
  <si>
    <t>406002_Social insurance contribution - academic</t>
  </si>
  <si>
    <t>401003_Salary - employees (excl. academic and faculty)</t>
  </si>
  <si>
    <t>402003_Bonus - employees (excl. academic and faculty)</t>
  </si>
  <si>
    <t>406003_Social insurance contribution - employees (excl. academic and faculty)</t>
  </si>
  <si>
    <t>405010_Training - faculty and academic</t>
  </si>
  <si>
    <t>405011_Training - employees (excl. academic and faculty)</t>
  </si>
  <si>
    <t>Overheads for projects</t>
  </si>
  <si>
    <t>100 000/1.271= 78 678.2 - сумма договора ГПХ до уплаты страховых взносов ( сумма к выплате +НДФЛ)</t>
  </si>
  <si>
    <t>гостиница - 10 000 руб. за сутки максимальная стоимость проживания</t>
  </si>
  <si>
    <t>Рекомендации:</t>
  </si>
  <si>
    <t>Средства МОН</t>
  </si>
  <si>
    <t>Гранты не Сколково</t>
  </si>
  <si>
    <t>Доходы от НИОКР для коммерческих организаций</t>
  </si>
  <si>
    <t>Спонсируемые исследования</t>
  </si>
  <si>
    <t>Доход от ФЦК</t>
  </si>
  <si>
    <t xml:space="preserve">командировочные расходы: </t>
  </si>
  <si>
    <t>Грант Фонда Сколково</t>
  </si>
  <si>
    <t>Доходы от образовательных услуг</t>
  </si>
  <si>
    <t>Доходы от консультационных услуг</t>
  </si>
  <si>
    <t>Доход от лицензий</t>
  </si>
  <si>
    <t>Прочие операционные доходы</t>
  </si>
  <si>
    <t>ФЦК под списание</t>
  </si>
  <si>
    <t>Спонсорство и пожертвования</t>
  </si>
  <si>
    <t>Прочий не операционный доход</t>
  </si>
  <si>
    <t>билеты (возможно приобретение билетов бизнес класса для ППС при длительности перелета более 6 часов (согласно политике Института о командировании)</t>
  </si>
  <si>
    <t>100 000/1.271= 78 678.2 - amount of PSA contract before payment of social taxes</t>
  </si>
  <si>
    <t>78 678.2*0.271= 21321.79 сумма социальных отчислений</t>
  </si>
  <si>
    <t>78 678.2*0.271= 21321.79 social taxes</t>
  </si>
  <si>
    <t>Выполнение работ по субподряду для МОН</t>
  </si>
  <si>
    <t>1017_CHR</t>
  </si>
  <si>
    <t>Institute development costs</t>
  </si>
  <si>
    <t>Personnel related expenses</t>
  </si>
  <si>
    <t>Supplies and utilities</t>
  </si>
  <si>
    <t>Student cost</t>
  </si>
  <si>
    <t>Finance expenses</t>
  </si>
  <si>
    <t>Professional services</t>
  </si>
  <si>
    <t>1011_CAM</t>
  </si>
  <si>
    <t>-</t>
  </si>
  <si>
    <t>Затраты на развитие Института</t>
  </si>
  <si>
    <t>Связи с общественностью, маркетинг</t>
  </si>
  <si>
    <t>Брэндированные и маркетинговые материалы</t>
  </si>
  <si>
    <t>Командировки</t>
  </si>
  <si>
    <t>Командировки: Cуточные</t>
  </si>
  <si>
    <t>Командировки: Cуточные сверх норм</t>
  </si>
  <si>
    <t>Командировки: Проживание</t>
  </si>
  <si>
    <t>Командировки: Транспорт</t>
  </si>
  <si>
    <t>Командировки: Сервисные сборы</t>
  </si>
  <si>
    <t>Командировки: Такси</t>
  </si>
  <si>
    <t>Командировки: Прочие расходы на командировки</t>
  </si>
  <si>
    <t>Материальное обеспечение и инфраструктура</t>
  </si>
  <si>
    <t>Оборудование - закупка</t>
  </si>
  <si>
    <t>Оборудование лабораторное (&gt;40 000 руб.)</t>
  </si>
  <si>
    <t>Оборудование ИТ (&lt;40 000 руб.)</t>
  </si>
  <si>
    <t>Материалы - закупка</t>
  </si>
  <si>
    <t>Материалы прочие</t>
  </si>
  <si>
    <t>Расходы по поддержанию инфраструктуры</t>
  </si>
  <si>
    <t>Почтовые расходы</t>
  </si>
  <si>
    <t>Транспортные расходы</t>
  </si>
  <si>
    <t>Логистические/транспортные расходы</t>
  </si>
  <si>
    <t>Расходы на такси</t>
  </si>
  <si>
    <t>Расходы на персонал</t>
  </si>
  <si>
    <t>Заработная плата ППС</t>
  </si>
  <si>
    <t>Заработная плата академического персонала</t>
  </si>
  <si>
    <t>Заработная плата сотрудников (кроме НПР)</t>
  </si>
  <si>
    <t>Премии</t>
  </si>
  <si>
    <t>Премии ППС</t>
  </si>
  <si>
    <t>Страховые взносы ППС</t>
  </si>
  <si>
    <t>Страховые взносы академического персонала</t>
  </si>
  <si>
    <t>Страховые взносы сотрудников (кроме НПР)</t>
  </si>
  <si>
    <t>Страхование персонала</t>
  </si>
  <si>
    <t>ДМС и страхование для выездов за рубеж сотрудников</t>
  </si>
  <si>
    <t>Страхование от несчастных случаев и страхование жизни</t>
  </si>
  <si>
    <t>Внештатные сотрудники (ГПХ)</t>
  </si>
  <si>
    <t>Оплата по договорам ГПХ НИР</t>
  </si>
  <si>
    <t>Финансовые расходы</t>
  </si>
  <si>
    <t>Технические статьи</t>
  </si>
  <si>
    <t>Накладные расходы для проектов</t>
  </si>
  <si>
    <t>Профессиональные услуги</t>
  </si>
  <si>
    <t>Прочие профессиональные услуги</t>
  </si>
  <si>
    <t>Финансирование / доходы</t>
  </si>
  <si>
    <t>_</t>
  </si>
  <si>
    <t>Наименование статьи</t>
  </si>
  <si>
    <t>Account name</t>
  </si>
  <si>
    <t>Тип</t>
  </si>
  <si>
    <t>Наименование типа</t>
  </si>
  <si>
    <t>Type name (x)</t>
  </si>
  <si>
    <t>Type (Parent2)</t>
  </si>
  <si>
    <t>Группа</t>
  </si>
  <si>
    <t>Наименование группы (xx)</t>
  </si>
  <si>
    <t>Group name (xx)</t>
  </si>
  <si>
    <t>Group (Parent)</t>
  </si>
  <si>
    <t>Бюджетируется</t>
  </si>
  <si>
    <t>Комментарии</t>
  </si>
  <si>
    <t>4405_PRO</t>
  </si>
  <si>
    <t>4406_LSD</t>
  </si>
  <si>
    <t>4403_ICO</t>
  </si>
  <si>
    <t>4401_FIN</t>
  </si>
  <si>
    <t>2603_IGO</t>
  </si>
  <si>
    <t>3101_IND</t>
  </si>
  <si>
    <t>3102_RAD</t>
  </si>
  <si>
    <t>3103_ILO</t>
  </si>
  <si>
    <t>3104_RDC</t>
  </si>
  <si>
    <t>3105_IBD</t>
  </si>
  <si>
    <t>4101_PRS</t>
  </si>
  <si>
    <t>4102_TMN</t>
  </si>
  <si>
    <t>4103_SEC</t>
  </si>
  <si>
    <t>2601_ANI</t>
  </si>
  <si>
    <t>2205_PVT</t>
  </si>
  <si>
    <t>5101_PCM</t>
  </si>
  <si>
    <t>5102_SPM</t>
  </si>
  <si>
    <t>5103_FCT</t>
  </si>
  <si>
    <t>5104_EHS</t>
  </si>
  <si>
    <t>5105_REM</t>
  </si>
  <si>
    <t>4408_OPR</t>
  </si>
  <si>
    <t>4407_ITD</t>
  </si>
  <si>
    <t>4404_HRO</t>
  </si>
  <si>
    <t>4402_ACC</t>
  </si>
  <si>
    <t>4202_EVE</t>
  </si>
  <si>
    <t>4201_COM</t>
  </si>
  <si>
    <t>2602_STU</t>
  </si>
  <si>
    <t>2105_STL</t>
  </si>
  <si>
    <t>2101_EDO</t>
  </si>
  <si>
    <t>2104_EDM</t>
  </si>
  <si>
    <t>2204_FAA</t>
  </si>
  <si>
    <t>2201_OSP</t>
  </si>
  <si>
    <t>2202_RES</t>
  </si>
  <si>
    <t>2206_GCF</t>
  </si>
  <si>
    <t>2203_SFO</t>
  </si>
  <si>
    <t>2301_CEI</t>
  </si>
  <si>
    <t>2302_IPL</t>
  </si>
  <si>
    <t>1012_CAS</t>
  </si>
  <si>
    <t>1013_CTB</t>
  </si>
  <si>
    <t>1014_CDISE</t>
  </si>
  <si>
    <t>1015_CEE</t>
  </si>
  <si>
    <t>1016_CES</t>
  </si>
  <si>
    <t>1018_CQM</t>
  </si>
  <si>
    <t>1019_CDIBB</t>
  </si>
  <si>
    <t>1020_CSR</t>
  </si>
  <si>
    <t>1021_CLS</t>
  </si>
  <si>
    <t xml:space="preserve">Финансирование и доходы </t>
  </si>
  <si>
    <t>Financing &amp; incomes</t>
  </si>
  <si>
    <t>Financing / incomes</t>
  </si>
  <si>
    <t>да</t>
  </si>
  <si>
    <t>all types of cash inflows, including FOREX gain, interest received, grants, sponsorship, incomes from rent, payment for education, etc.</t>
  </si>
  <si>
    <t>+</t>
  </si>
  <si>
    <t>Доходы по НИОКР</t>
  </si>
  <si>
    <t>Income on R&amp;D</t>
  </si>
  <si>
    <t>Доходы по наукоемким работам и услугам</t>
  </si>
  <si>
    <t>Income on knowledge-intensive work and services</t>
  </si>
  <si>
    <t>Representative expenses</t>
  </si>
  <si>
    <t>Membership fees (scientific and professional communities)</t>
  </si>
  <si>
    <t>Маркетинговые исследования</t>
  </si>
  <si>
    <t>Marketing research</t>
  </si>
  <si>
    <t>PR and marketing</t>
  </si>
  <si>
    <t>Реклама</t>
  </si>
  <si>
    <t>Advertising</t>
  </si>
  <si>
    <t>excluding materials that go to 202004</t>
  </si>
  <si>
    <t>PR услуги</t>
  </si>
  <si>
    <t>PR services</t>
  </si>
  <si>
    <t>Branded and promo materials</t>
  </si>
  <si>
    <t>Интернет-сайт</t>
  </si>
  <si>
    <t>Web site</t>
  </si>
  <si>
    <t>those expenses that will be capitalized and included into expenses immediately</t>
  </si>
  <si>
    <t>Торговые марки и бренды</t>
  </si>
  <si>
    <t>Trademarks and brands</t>
  </si>
  <si>
    <t>Мероприятия: Приглашенные участники</t>
  </si>
  <si>
    <t>Events_Invitation expenses</t>
  </si>
  <si>
    <t>Мероприятия</t>
  </si>
  <si>
    <t>Events</t>
  </si>
  <si>
    <t>for events of any kind, including e.g. for prospective students</t>
  </si>
  <si>
    <t>Мероприятия: Регистрационный взнос</t>
  </si>
  <si>
    <t>Events_Registration expenses</t>
  </si>
  <si>
    <t>Мероприятия: Кейтеринг</t>
  </si>
  <si>
    <t>Events_Catering</t>
  </si>
  <si>
    <t>Мероприятия: Транспортные услуги</t>
  </si>
  <si>
    <t>Events_Transport expenses</t>
  </si>
  <si>
    <t>Мероприятия: Аренда под мероприятия</t>
  </si>
  <si>
    <t>Events_Rent for events</t>
  </si>
  <si>
    <t>Мероприятия: Прочие расходы на мероприятия</t>
  </si>
  <si>
    <t>Events_Other</t>
  </si>
  <si>
    <t>for events of any kind, including e.g. for prospective students. The only budgeted account used for control while actuals are to be split by other group accounts</t>
  </si>
  <si>
    <t>Business trips_Daily allowance within the limits</t>
  </si>
  <si>
    <t>Business trips</t>
  </si>
  <si>
    <t>Business trips_Daily allowance above the limits</t>
  </si>
  <si>
    <t>нет</t>
  </si>
  <si>
    <t>Business trips_Accommodation</t>
  </si>
  <si>
    <t>Business trips_Transport expenses</t>
  </si>
  <si>
    <t>Business trips_Services fee</t>
  </si>
  <si>
    <t>Business trips_Taxi</t>
  </si>
  <si>
    <t>Командировки: Регистрационные взносы</t>
  </si>
  <si>
    <t>Business trips_Registration expenses</t>
  </si>
  <si>
    <t>Business trips_Other</t>
  </si>
  <si>
    <t>Платежи российским институтам-партнерам (ЦНИО)</t>
  </si>
  <si>
    <t>Payments to Institutes-partners (Russian)</t>
  </si>
  <si>
    <t>Затраты на развитие исследовательской деятельности</t>
  </si>
  <si>
    <t>Research activity delopment expenses</t>
  </si>
  <si>
    <t>Платежи иностранным институтам-партнерам (ЦНИО)</t>
  </si>
  <si>
    <t>Payments to Institutes-partners (foreign)</t>
  </si>
  <si>
    <t>Патенты и лицензии</t>
  </si>
  <si>
    <t>Patents and licenses</t>
  </si>
  <si>
    <t>including registration fees</t>
  </si>
  <si>
    <t>Публикации</t>
  </si>
  <si>
    <t>Publications</t>
  </si>
  <si>
    <t>expenses for publishing any scientific publication, excluding advertising of any kind</t>
  </si>
  <si>
    <t>Прочие расходы на развитие Института</t>
  </si>
  <si>
    <t>Other Institute development costs</t>
  </si>
  <si>
    <t>Программное обеспечение_исключительное право</t>
  </si>
  <si>
    <t>Software_exclusive</t>
  </si>
  <si>
    <t>Нематериальные активы - закупка</t>
  </si>
  <si>
    <t>Intangible assets - purchase</t>
  </si>
  <si>
    <t>Программное обеспечение_неисключительное право</t>
  </si>
  <si>
    <t>Software_non-exclusive</t>
  </si>
  <si>
    <t>e.g. Sparks, Consultant, etc.</t>
  </si>
  <si>
    <t>Прочие НМА</t>
  </si>
  <si>
    <t>Other intangible assets</t>
  </si>
  <si>
    <t>Equipment for laboratories (&gt;40 000 RUR)</t>
  </si>
  <si>
    <t>Equipment purchase</t>
  </si>
  <si>
    <t>Оборудование лабораторное (&lt;40 000 руб.)</t>
  </si>
  <si>
    <t>Equipment for laboratories (&lt;40 000 RUR)</t>
  </si>
  <si>
    <t>Оборудование офисное  (&gt;40 000 руб.)</t>
  </si>
  <si>
    <t>Equipment for office (&gt;40 000 RUR)</t>
  </si>
  <si>
    <t>Оборудование офисное  (&lt;40 000 руб.)</t>
  </si>
  <si>
    <t>Equipment for office (&lt;40 000 RUR)</t>
  </si>
  <si>
    <t xml:space="preserve">Оборудование телеком </t>
  </si>
  <si>
    <t>Equipment -  telecommunications</t>
  </si>
  <si>
    <t>video and photo cameras, LCD panels, smartphones,  wifi access ponts, etc.</t>
  </si>
  <si>
    <t>Оборудование сетевое</t>
  </si>
  <si>
    <t>Equipment - networks</t>
  </si>
  <si>
    <t>Оборудование серверное</t>
  </si>
  <si>
    <t>Equipment - servers</t>
  </si>
  <si>
    <t>Оборудование компьютерное</t>
  </si>
  <si>
    <t>Equipment - computer facility</t>
  </si>
  <si>
    <t>Инженерные системы</t>
  </si>
  <si>
    <t>Engineering systems</t>
  </si>
  <si>
    <t>equipment for refrigeration, water facilities, gas-supply,  power generation, drain, ventilation, site access control management, safety related systems, etc.</t>
  </si>
  <si>
    <t>Equipment - IT  (&lt;40 000 RUR)</t>
  </si>
  <si>
    <t>Автопарк</t>
  </si>
  <si>
    <t>Vehicles</t>
  </si>
  <si>
    <t>Прочее оборудование  (&gt;40 000 руб.)</t>
  </si>
  <si>
    <t>Equipment - other (&gt;40 000 RUR)</t>
  </si>
  <si>
    <t>Прочее оборудование  (&lt;40 000 руб.)</t>
  </si>
  <si>
    <t>Equipment - other (&lt;40 000 RUR)</t>
  </si>
  <si>
    <t>Мебель лабораторная (&gt;40 000 руб.)</t>
  </si>
  <si>
    <t>Furniture for laboratories (&gt;40 000 RUR)</t>
  </si>
  <si>
    <t>Мебель - закупка</t>
  </si>
  <si>
    <t>Furniture purchase</t>
  </si>
  <si>
    <t>Мебель лабораторная (&lt;40 000 руб.)</t>
  </si>
  <si>
    <t>Furniture for laboratories (&lt;40 000 RUR)</t>
  </si>
  <si>
    <t>Мебель офисная (&gt;40 000 руб.)</t>
  </si>
  <si>
    <t>Furniture for office (&gt;40 000 RUR)</t>
  </si>
  <si>
    <t>Мебель офисная (&lt;40 000 руб.)</t>
  </si>
  <si>
    <t>Furniture for office (&lt;40 000 RUR)</t>
  </si>
  <si>
    <t>Мебель прочая (&gt;40 000 руб.)</t>
  </si>
  <si>
    <t>Furniture other (&gt;40 000 RUR)</t>
  </si>
  <si>
    <t>Мебель прочая (&lt;40 000 руб.)</t>
  </si>
  <si>
    <t>Furniture other (&lt;40 000 RUR)</t>
  </si>
  <si>
    <t>Materials for laboratories</t>
  </si>
  <si>
    <t>Materials purchase</t>
  </si>
  <si>
    <t>Материалы для отдела образования</t>
  </si>
  <si>
    <t>Materials for education department</t>
  </si>
  <si>
    <t>Канцелярские принадлежности и инвентарь</t>
  </si>
  <si>
    <t>Stationery and other office consumables</t>
  </si>
  <si>
    <t>Материалы для автомобилей</t>
  </si>
  <si>
    <t>Materials for vehicles</t>
  </si>
  <si>
    <t>Расходные материалы для ИТ</t>
  </si>
  <si>
    <t>Materials for IT</t>
  </si>
  <si>
    <t>Materials - other</t>
  </si>
  <si>
    <t>Rent - laboratory premises</t>
  </si>
  <si>
    <t>Аренда/лизинг</t>
  </si>
  <si>
    <t>Rent operating/finance</t>
  </si>
  <si>
    <t>excluding deposit</t>
  </si>
  <si>
    <t>Аренда офисных помещений</t>
  </si>
  <si>
    <t>Rent - office premises</t>
  </si>
  <si>
    <t>Аренда автотранспорта</t>
  </si>
  <si>
    <t>Rent - vehicle</t>
  </si>
  <si>
    <t>Аренда исследовательского оборудования</t>
  </si>
  <si>
    <t>Rent - research equipment</t>
  </si>
  <si>
    <t>Аоенда складских помещений</t>
  </si>
  <si>
    <t>Rent - warehouse</t>
  </si>
  <si>
    <t>Аренда прочая</t>
  </si>
  <si>
    <t>Rent - other</t>
  </si>
  <si>
    <t>Ремонт лабораторий (капитальный)</t>
  </si>
  <si>
    <t>Repair of laboratories (CAPEX)</t>
  </si>
  <si>
    <t>Ремонт и обслуживание</t>
  </si>
  <si>
    <t>Repair and maintenance</t>
  </si>
  <si>
    <t>Ремонт офиса (капитальный)</t>
  </si>
  <si>
    <t>Repair of office (CAPEX)</t>
  </si>
  <si>
    <t>Ремонт лабораторий и исследовательского оборудования (текущий)</t>
  </si>
  <si>
    <t>Repair of laboratories (OPEX)</t>
  </si>
  <si>
    <t>Ремонт офиса (текущий)</t>
  </si>
  <si>
    <t>Repair of office (OPEX)</t>
  </si>
  <si>
    <t>Ремонт и обслуживание инженерных систем (текущий)</t>
  </si>
  <si>
    <t>Repair and maintenance of engineering systems</t>
  </si>
  <si>
    <t>Ремонт и обслуживание автопарка</t>
  </si>
  <si>
    <t>Repair and maintenance of vehicles</t>
  </si>
  <si>
    <t>Ремонт обслуживание ИТ оборудования</t>
  </si>
  <si>
    <t>Repair and maintenance of IT equipment</t>
  </si>
  <si>
    <t>Обслуживание ПО</t>
  </si>
  <si>
    <t>Software maintenance</t>
  </si>
  <si>
    <t>e.g. Consultant+ monthly maintenance and update, etc.</t>
  </si>
  <si>
    <t>Коммунальные платежи</t>
  </si>
  <si>
    <t>Utility charges</t>
  </si>
  <si>
    <t>Facility servicing</t>
  </si>
  <si>
    <t>Уборка помещений</t>
  </si>
  <si>
    <t>Cleaning - indoor</t>
  </si>
  <si>
    <t>Уборка территории</t>
  </si>
  <si>
    <t>Cleaning  - outdoor</t>
  </si>
  <si>
    <t>Расходы на интернет и IP телефонию</t>
  </si>
  <si>
    <t>Internet expenses and IP telephony</t>
  </si>
  <si>
    <t>Postal and courier expenses</t>
  </si>
  <si>
    <t>Logistic/transport expenses</t>
  </si>
  <si>
    <t>Transport expenses</t>
  </si>
  <si>
    <t>transportation along the Skolkovo territory, crane services, rope anf lifting tackles ,etc</t>
  </si>
  <si>
    <t>Taxi expenses</t>
  </si>
  <si>
    <t>excluding business trips and events</t>
  </si>
  <si>
    <t>Охрана</t>
  </si>
  <si>
    <t>Security</t>
  </si>
  <si>
    <t>Расходы на охрану</t>
  </si>
  <si>
    <t>Security related expenses</t>
  </si>
  <si>
    <t>external services</t>
  </si>
  <si>
    <t>Расходы на охрану труда и техносферную безопасность</t>
  </si>
  <si>
    <t xml:space="preserve">Expenses on EHS and technospheric safety </t>
  </si>
  <si>
    <t>Спецодежда</t>
  </si>
  <si>
    <t>Coveralls</t>
  </si>
  <si>
    <t>Строительство кампуса</t>
  </si>
  <si>
    <t>Campus construction</t>
  </si>
  <si>
    <t>Строительство</t>
  </si>
  <si>
    <t>Constructions</t>
  </si>
  <si>
    <t>Книжный фонд</t>
  </si>
  <si>
    <t>Books and periodicals</t>
  </si>
  <si>
    <t>Библиотека</t>
  </si>
  <si>
    <t>Library</t>
  </si>
  <si>
    <t>Онлайн услуги и подписка</t>
  </si>
  <si>
    <t>Subscriptions to online databases</t>
  </si>
  <si>
    <t>Salary - faculty</t>
  </si>
  <si>
    <t>Salary</t>
  </si>
  <si>
    <t>Salary - academic</t>
  </si>
  <si>
    <t>Salary - employees (excl. academic and faculty)</t>
  </si>
  <si>
    <t>Заработная плата замещение</t>
  </si>
  <si>
    <t>Salary - substitution</t>
  </si>
  <si>
    <t>Bonus - faculty</t>
  </si>
  <si>
    <t>Bonus</t>
  </si>
  <si>
    <t>Премии академического персонала</t>
  </si>
  <si>
    <t>Bonus - academic</t>
  </si>
  <si>
    <t>Премии сотрудникам (кроме НПР)</t>
  </si>
  <si>
    <t>Bonus - employees (excl. academic and faculty)</t>
  </si>
  <si>
    <t>Выплаты по грантам НПР (без НДФЛ)</t>
  </si>
  <si>
    <t>Grant payments (excl. personal income tax)</t>
  </si>
  <si>
    <t>Выплаты по грантам</t>
  </si>
  <si>
    <t>Grant payments</t>
  </si>
  <si>
    <t>Выплаты по грантам НПР (с НДФЛ)</t>
  </si>
  <si>
    <t>Grant payments (incl. personal income tax)</t>
  </si>
  <si>
    <t>Целевые взносы для выплаты грантов</t>
  </si>
  <si>
    <t>Target contribution for grants</t>
  </si>
  <si>
    <t>Авторское вознаграждение НИР</t>
  </si>
  <si>
    <t>Remuneration for an invention (research)</t>
  </si>
  <si>
    <t>Авторское вознаграждение</t>
  </si>
  <si>
    <t>Remuneration for an invention</t>
  </si>
  <si>
    <t>Расходы на проживание сотрудника</t>
  </si>
  <si>
    <t>Living expenses - employees</t>
  </si>
  <si>
    <t>Компенсации и льготы сотрудников</t>
  </si>
  <si>
    <t>Compensations and benefits - employees</t>
  </si>
  <si>
    <t>including expenses related to appartment search and agent fee</t>
  </si>
  <si>
    <t>Обучение детей</t>
  </si>
  <si>
    <t>Kids education expenses</t>
  </si>
  <si>
    <t>Языковые и культурные курсы</t>
  </si>
  <si>
    <t>Language and cultural trainings</t>
  </si>
  <si>
    <t>Ознакомительная поездка</t>
  </si>
  <si>
    <t>Pre-employment visit</t>
  </si>
  <si>
    <t>Переезд сотрудника</t>
  </si>
  <si>
    <t>Relocation support - employees</t>
  </si>
  <si>
    <t>including relocation of family, pets, visa expenses, etc.</t>
  </si>
  <si>
    <t>Материальная помощь</t>
  </si>
  <si>
    <t>Financial aid</t>
  </si>
  <si>
    <t>including emergency trips for expats</t>
  </si>
  <si>
    <t>Налоговое сопровождение</t>
  </si>
  <si>
    <t>Tax consultations</t>
  </si>
  <si>
    <t>Расходы на мобильную связь по норме</t>
  </si>
  <si>
    <t>Cell phones expenses within the limits</t>
  </si>
  <si>
    <t>Расходы на мобильную связь сверх нормы</t>
  </si>
  <si>
    <t>Cell phones expenses above the limits</t>
  </si>
  <si>
    <t>Повышение квалификации и обучение НПР</t>
  </si>
  <si>
    <t>Training - faculty and academic</t>
  </si>
  <si>
    <t>также открыть для 2204_FAA</t>
  </si>
  <si>
    <t>Повышение квалификации и обучение персонала (кроме НПР)</t>
  </si>
  <si>
    <t>Training - employees (excl. academic and faculty)</t>
  </si>
  <si>
    <t>Social insurance contribution - faculty</t>
  </si>
  <si>
    <t>Social insurance contribution</t>
  </si>
  <si>
    <t>Social insurance contribution - academic</t>
  </si>
  <si>
    <t>Social insurance contribution - employees (excl. academic and faculty)</t>
  </si>
  <si>
    <t>Страховые взносы замещение</t>
  </si>
  <si>
    <t>Social insurance contribution - substitution</t>
  </si>
  <si>
    <t>Voluntary health and travel insurance - employees</t>
  </si>
  <si>
    <t>Insurance - employees</t>
  </si>
  <si>
    <t>Personal accident and life insurance</t>
  </si>
  <si>
    <t>Прочее страхование сотрудников</t>
  </si>
  <si>
    <t>Other insurance - employees</t>
  </si>
  <si>
    <t>PSA (research)</t>
  </si>
  <si>
    <t>PSA</t>
  </si>
  <si>
    <t>to be budgeted with social insurance contribution, while actuals will be in different lines. Group control</t>
  </si>
  <si>
    <t>Оплата по договорам ГПХ (кроме НИР)</t>
  </si>
  <si>
    <t>PSA (excl. research)</t>
  </si>
  <si>
    <t>Страховые взносы по договорам ГПХ НИР</t>
  </si>
  <si>
    <t>Social insurance contribution - PSA (research)</t>
  </si>
  <si>
    <t>not budgeted, group control</t>
  </si>
  <si>
    <t>Страховые взносы по договорам ГПХ (кроме НИР)</t>
  </si>
  <si>
    <t>Social insurance contribution - PSA (exc. research)</t>
  </si>
  <si>
    <t>Оплата по договорам штатных сотрудников</t>
  </si>
  <si>
    <t>Contracts with employees</t>
  </si>
  <si>
    <t>Страховые взносы по договорам штатных сотрудников</t>
  </si>
  <si>
    <t>Social insurance contribution - contracts with employees</t>
  </si>
  <si>
    <t>Прочие расходы на персонал</t>
  </si>
  <si>
    <t>Other personnel related expenses</t>
  </si>
  <si>
    <t>Стипендия - базовая в магистратуре</t>
  </si>
  <si>
    <t>Scholarship - basic for Master's</t>
  </si>
  <si>
    <t>Расходы на студентов</t>
  </si>
  <si>
    <t>Стипендия</t>
  </si>
  <si>
    <t>Scholarship/stipend</t>
  </si>
  <si>
    <t>Стипендия - дополнительная в магистратуре</t>
  </si>
  <si>
    <t>Scholarship - extra for Master's</t>
  </si>
  <si>
    <t>Стипендия - в аспирантуре</t>
  </si>
  <si>
    <t>Scholarship - for PhD</t>
  </si>
  <si>
    <t>Стипендия - академическая мобильность</t>
  </si>
  <si>
    <t>Scholarship - academic mobility</t>
  </si>
  <si>
    <t>Стипендия - специальная</t>
  </si>
  <si>
    <t>Scholarship - special</t>
  </si>
  <si>
    <t>Стипендия - именная</t>
  </si>
  <si>
    <t>Scholarship - personalized</t>
  </si>
  <si>
    <t>Стипендия - ректорская</t>
  </si>
  <si>
    <t>Scholarship - President's</t>
  </si>
  <si>
    <t>Надбавка к стипендии при академической поездке</t>
  </si>
  <si>
    <t>Extra stipend for academic trip</t>
  </si>
  <si>
    <t>Надбавки/призовые</t>
  </si>
  <si>
    <t>Extra stipend</t>
  </si>
  <si>
    <t>Призовые выплаты студентам</t>
  </si>
  <si>
    <t>Students awards</t>
  </si>
  <si>
    <t>Расходы на проживание студентов</t>
  </si>
  <si>
    <t>Living expenses - students</t>
  </si>
  <si>
    <t>Компенсации и льготы студентов</t>
  </si>
  <si>
    <t>Compensations and benefits - students</t>
  </si>
  <si>
    <t>Переезд студентов</t>
  </si>
  <si>
    <t>Relocation support - students</t>
  </si>
  <si>
    <t>ДМС студентов</t>
  </si>
  <si>
    <t>Voluntary health insurance - students</t>
  </si>
  <si>
    <t>Страхование от несчастных случаев и страхование жизни - студентов</t>
  </si>
  <si>
    <t>Personal accident and life insurance - students</t>
  </si>
  <si>
    <t>Расходы на отбор студентов</t>
  </si>
  <si>
    <t>Students selection expeneses</t>
  </si>
  <si>
    <t>Образовательные мероприятия</t>
  </si>
  <si>
    <t>Education activities</t>
  </si>
  <si>
    <t>Краткосрочные программы академической мобильности и конференции</t>
  </si>
  <si>
    <t>Short-term academic mobility programs and conferences</t>
  </si>
  <si>
    <t>Расходы на приглашенных лекторов и гостей</t>
  </si>
  <si>
    <t>External lecturers and guests invitation expenses</t>
  </si>
  <si>
    <t>Долгосрочные программы академической мобильности</t>
  </si>
  <si>
    <t>Long-term academic mobility programs</t>
  </si>
  <si>
    <t>Вознаграждение приглашенных лекторов (ГПХ)</t>
  </si>
  <si>
    <t>External lecturers remuneration (PSA)</t>
  </si>
  <si>
    <t>Вознаграждение помощника преподавателя (ГПХ)</t>
  </si>
  <si>
    <t>Teaching assistant remuneration (PSA)</t>
  </si>
  <si>
    <t>Прочие расходы на студентов</t>
  </si>
  <si>
    <t>Other students related expenses</t>
  </si>
  <si>
    <t>НДС</t>
  </si>
  <si>
    <t>Value added tax</t>
  </si>
  <si>
    <t>Налоги и сборы</t>
  </si>
  <si>
    <t>Taxes and charges</t>
  </si>
  <si>
    <t>Налог на прибыль</t>
  </si>
  <si>
    <t>Corporate income tax</t>
  </si>
  <si>
    <t>Налог на имущество</t>
  </si>
  <si>
    <t>Property tax</t>
  </si>
  <si>
    <t>Госпошлины</t>
  </si>
  <si>
    <t>State duties</t>
  </si>
  <si>
    <t>Штрафы</t>
  </si>
  <si>
    <t>Penalties</t>
  </si>
  <si>
    <t>Пени за просрочку платежей</t>
  </si>
  <si>
    <t>Late payment fee</t>
  </si>
  <si>
    <t>Прочие налоговые и иные обязательства</t>
  </si>
  <si>
    <t>Taxes - other</t>
  </si>
  <si>
    <t>Банковские комиссии</t>
  </si>
  <si>
    <t>Bank commission</t>
  </si>
  <si>
    <t>Прочие расходы</t>
  </si>
  <si>
    <t>Other expenses</t>
  </si>
  <si>
    <t>Убытки от курсовых разниц</t>
  </si>
  <si>
    <t>FOREX loss</t>
  </si>
  <si>
    <t>Обеспечение гарантийное</t>
  </si>
  <si>
    <t>Collaterals for guarantees</t>
  </si>
  <si>
    <t>Списания ОС, материалов, задолженностей</t>
  </si>
  <si>
    <t>Write-offs of FAs, inventory, AR</t>
  </si>
  <si>
    <t>Резерв на неотгуленные отпуска</t>
  </si>
  <si>
    <t>Unused vacation provision</t>
  </si>
  <si>
    <t>all the employees</t>
  </si>
  <si>
    <t>Прочие финансовые расходы</t>
  </si>
  <si>
    <t>Other finance expenses</t>
  </si>
  <si>
    <t>Денежные переводы между р/с</t>
  </si>
  <si>
    <t>Internal bank transfers</t>
  </si>
  <si>
    <t>Technical account</t>
  </si>
  <si>
    <t>Покупка валюты</t>
  </si>
  <si>
    <t>Currency purchase/sale</t>
  </si>
  <si>
    <t>Возвраты денежных средств</t>
  </si>
  <si>
    <t>Cash returns</t>
  </si>
  <si>
    <t>ОНА</t>
  </si>
  <si>
    <t>Deferred tax asset</t>
  </si>
  <si>
    <t>ОНО</t>
  </si>
  <si>
    <t>Deferred tax liabilities</t>
  </si>
  <si>
    <t>ПНР</t>
  </si>
  <si>
    <t>Permanent tax differences</t>
  </si>
  <si>
    <t>Расходы прошлых периодов</t>
  </si>
  <si>
    <t>Prior period expenses</t>
  </si>
  <si>
    <t>Страховой депозит за аренду помещения</t>
  </si>
  <si>
    <t>Security deposit for rent</t>
  </si>
  <si>
    <t>Авансы сотрудникам</t>
  </si>
  <si>
    <t>Advances given to employees</t>
  </si>
  <si>
    <t>to be used in case of not clear purpose, otherwise specific account to be used</t>
  </si>
  <si>
    <t>Прочие технические операции</t>
  </si>
  <si>
    <t>Страхование имущества</t>
  </si>
  <si>
    <t>Property insurance</t>
  </si>
  <si>
    <t>Страхование неличное</t>
  </si>
  <si>
    <t>Insurance nonpersonal</t>
  </si>
  <si>
    <t>Страхование ответственности</t>
  </si>
  <si>
    <t>Liability insurance</t>
  </si>
  <si>
    <t>Страхование строительных рисков</t>
  </si>
  <si>
    <t>Construction risks insurance</t>
  </si>
  <si>
    <t>Аудит</t>
  </si>
  <si>
    <t>Audit fee</t>
  </si>
  <si>
    <t>Консультационные и юридические услуги</t>
  </si>
  <si>
    <t>Consulting and legal services</t>
  </si>
  <si>
    <t>Consulting services</t>
  </si>
  <si>
    <t>Юридические услуги</t>
  </si>
  <si>
    <t>Legal services - other</t>
  </si>
  <si>
    <t>Научные исследования и работы, НИР, НИОКР</t>
  </si>
  <si>
    <t>Research and development works</t>
  </si>
  <si>
    <t>Переводческие услуги</t>
  </si>
  <si>
    <t>Translation services</t>
  </si>
  <si>
    <t>Other professional services</t>
  </si>
  <si>
    <t>Услуги предоставления персонала</t>
  </si>
  <si>
    <t>Outstaffing services</t>
  </si>
  <si>
    <t>e.g. IT Help desk outstaffing</t>
  </si>
  <si>
    <t>Сustoms broker services</t>
  </si>
  <si>
    <t>Услуги по  внедрению ИТ систем</t>
  </si>
  <si>
    <t>IT systems implementation service</t>
  </si>
  <si>
    <t>e.g. Cognos, Axapta, etc. implementation services (could be capitalized)</t>
  </si>
  <si>
    <t>Услуги по подбору персонала</t>
  </si>
  <si>
    <t>Recruitment services</t>
  </si>
  <si>
    <t>Расходы по грантам РНФ</t>
  </si>
  <si>
    <t>RSF grant expenses</t>
  </si>
  <si>
    <t>1011_CAM_CPS</t>
  </si>
  <si>
    <t>1014_CDISE_C</t>
  </si>
  <si>
    <t>1017_CHR_DMS</t>
  </si>
  <si>
    <t>2207_ICF</t>
  </si>
  <si>
    <t>2208_MNC</t>
  </si>
  <si>
    <t>2604_MRO</t>
  </si>
  <si>
    <t>3106_ADS</t>
  </si>
  <si>
    <t>6101_CEX</t>
  </si>
  <si>
    <t>Cost center code</t>
  </si>
  <si>
    <t>Код</t>
  </si>
  <si>
    <t>Название</t>
  </si>
  <si>
    <t>Years</t>
  </si>
  <si>
    <t>Year 2019</t>
  </si>
  <si>
    <t>Year 2020</t>
  </si>
  <si>
    <t>Year 2021</t>
  </si>
  <si>
    <t>Year 2022</t>
  </si>
  <si>
    <t>VAT Rate</t>
  </si>
  <si>
    <t>Source/Year</t>
  </si>
  <si>
    <t>3101_Доход от ФЦК</t>
  </si>
  <si>
    <t>Social contribution</t>
  </si>
  <si>
    <t>Contract 1</t>
  </si>
  <si>
    <t>Amount of the contract, icl.PIT</t>
  </si>
  <si>
    <t>Year 2018</t>
  </si>
  <si>
    <t>1101_Грант Фонда Сколково</t>
  </si>
  <si>
    <t>Year 2017</t>
  </si>
  <si>
    <t>Общая сумма контаркта за весь период (pfgjkzyt</t>
  </si>
  <si>
    <t>софинансирование</t>
  </si>
  <si>
    <t>1201_Средства МОН</t>
  </si>
  <si>
    <t>рекомендации по валютному курсу</t>
  </si>
  <si>
    <t>Накладные могут рассчитываться разными способами, поэтому должно быть 2 формы - brand new Porject and old project</t>
  </si>
  <si>
    <t>Добавить строчку про которую денис говорил - почтовые расходы</t>
  </si>
  <si>
    <t>Нужно добавить check</t>
  </si>
  <si>
    <t>Перевод страницы header</t>
  </si>
  <si>
    <t xml:space="preserve">Заменить Эндаумент на Endowment </t>
  </si>
  <si>
    <t xml:space="preserve">НДС все </t>
  </si>
  <si>
    <t>Формула НДС. Расчёт идет от суммы прихода (поступление денежных средств). Да, я согласен, НДС мы заплатим тогда, когда нам оплатит заказчик. НО, если у нас оплата, на следующий год, к примеру: Срок действия договора 01.01.2019 – 28.12.2019, оплата нам поступит в 2020 году и оплатим НДС в 2020 году, но забюджетировать мы его должны в 2019 году. Поэтому считаю, что формулу для расчёта НДС необходимо изменить, чтобы расчет был от суммы затрат, а не от суммы поступление денежных средств</t>
  </si>
  <si>
    <t>См. пример в прикрепленном файле «2».</t>
  </si>
  <si>
    <t>Денис</t>
  </si>
  <si>
    <t>done</t>
  </si>
  <si>
    <t>HR budget расчет</t>
  </si>
  <si>
    <t>Сумма НДС (из контракта)/ VAT from the contract</t>
  </si>
  <si>
    <t>Сумма расходов за период (balancing figure)/ Leftover amount of available expenses</t>
  </si>
  <si>
    <t>Amount, rubles</t>
  </si>
  <si>
    <t>Business Trip 1</t>
  </si>
  <si>
    <t>Accounts  я пока скрыла</t>
  </si>
  <si>
    <t>Формулы тоже запротектила</t>
  </si>
  <si>
    <t>Остатки денежных средств по коммерческим контрактам</t>
  </si>
  <si>
    <t>1022_CNBR</t>
  </si>
  <si>
    <t>Лабораторно-аналитические работы</t>
  </si>
  <si>
    <t>Дата начала ТД</t>
  </si>
  <si>
    <t xml:space="preserve">Дата окончания ТД </t>
  </si>
  <si>
    <t>Занятость</t>
  </si>
  <si>
    <t>Календарь</t>
  </si>
  <si>
    <t>Оклад</t>
  </si>
  <si>
    <t>Combining</t>
  </si>
  <si>
    <t>Incentive payment</t>
  </si>
  <si>
    <t>Months YTG</t>
  </si>
  <si>
    <t>TTC</t>
  </si>
  <si>
    <t>28 или 56</t>
  </si>
  <si>
    <t>Vacation Days</t>
  </si>
  <si>
    <t>Vacation Provision</t>
  </si>
  <si>
    <t>AI</t>
  </si>
  <si>
    <t>VMI</t>
  </si>
  <si>
    <t>Expat?</t>
  </si>
  <si>
    <t>Social Tax + Insurance</t>
  </si>
  <si>
    <t>Relocation Allowance</t>
  </si>
  <si>
    <t>Schooling YTG</t>
  </si>
  <si>
    <t>Tickets</t>
  </si>
  <si>
    <t>Housing YTG</t>
  </si>
  <si>
    <t>Relocation Costs</t>
  </si>
  <si>
    <t>Base for Social Tax</t>
  </si>
  <si>
    <t>Social Taxes</t>
  </si>
  <si>
    <t>EB costs</t>
  </si>
  <si>
    <t>EB Rate</t>
  </si>
  <si>
    <t>Total Cost</t>
  </si>
  <si>
    <t>Start date</t>
  </si>
  <si>
    <t xml:space="preserve">Прибыль от проекта/ Net income </t>
  </si>
  <si>
    <t>Накладные расходы/
Overheads</t>
  </si>
  <si>
    <t>суточные: 2000 руб. на территории РФ, Зарубежом 4000 руб. (день приезда считается по 2000.00руб.)</t>
  </si>
  <si>
    <t>Имя сотрудника</t>
  </si>
  <si>
    <t>Начало работы</t>
  </si>
  <si>
    <t>Окончание работы</t>
  </si>
  <si>
    <t>Кол-во месяцев работы на проекте</t>
  </si>
  <si>
    <t>Бюджет на зарплату</t>
  </si>
  <si>
    <t>Надбавки, бонусы</t>
  </si>
  <si>
    <t xml:space="preserve">Проживание, обучение, переезд </t>
  </si>
  <si>
    <t>База страх взносы</t>
  </si>
  <si>
    <t>ДМС</t>
  </si>
  <si>
    <t>Страхование от несчастного случая</t>
  </si>
  <si>
    <t>Итого</t>
  </si>
  <si>
    <t>Name of the Employee engaged on the Project</t>
  </si>
  <si>
    <t xml:space="preserve">End date </t>
  </si>
  <si>
    <t>Salary incl. PIT</t>
  </si>
  <si>
    <t>Months to be employed on the Project in 2019</t>
  </si>
  <si>
    <t>Salary Budgeted for the Year 2019</t>
  </si>
  <si>
    <t>Bonuses</t>
  </si>
  <si>
    <t>Living expenses, education, relocation</t>
  </si>
  <si>
    <t>Base for social insurance calculation</t>
  </si>
  <si>
    <t>Менеджер</t>
  </si>
  <si>
    <t xml:space="preserve"> </t>
  </si>
  <si>
    <t>Руководитель проекта</t>
  </si>
  <si>
    <t>Инженер</t>
  </si>
  <si>
    <t>ЗП на проект. Включая НДФЛ</t>
  </si>
  <si>
    <t>Общая сумма этапа за бюджетный период/
Total amount of the stage for the Period</t>
  </si>
  <si>
    <t>Фонд оплаты труда</t>
  </si>
  <si>
    <t>Ведущий инженер</t>
  </si>
  <si>
    <t>Инженер-механик</t>
  </si>
  <si>
    <t>Договоры ГПХ</t>
  </si>
  <si>
    <t>Оборудование</t>
  </si>
  <si>
    <t xml:space="preserve">Колличество </t>
  </si>
  <si>
    <t>Цена за единицу</t>
  </si>
  <si>
    <t>Общая стоимость</t>
  </si>
  <si>
    <t>№</t>
  </si>
  <si>
    <t>Камера с активной инфракрасной подсветкой</t>
  </si>
  <si>
    <t xml:space="preserve">USB-хаб </t>
  </si>
  <si>
    <t xml:space="preserve">WiFi-роутер </t>
  </si>
  <si>
    <t xml:space="preserve">Ноутбук-трансформер с сенсорным экраном для дистанционного управления мультисенсорной платформой </t>
  </si>
  <si>
    <t>Материалы</t>
  </si>
  <si>
    <t>конструкционные элементы (металлические профили, пластины и т. д.)</t>
  </si>
  <si>
    <t>Крепёж</t>
  </si>
  <si>
    <t>Материалы (возможная доработка коснструкции)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</si>
</sst>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64" formatCode="_-* #,##0.00_-;\-* #,##0.00_-;_-* &quot;-&quot;??_-;_-@_-"/>
    <numFmt numFmtId="165" formatCode="_(* #,##0_);_(* \(#,##0\);_(* &quot;-&quot;??_);_(@_)"/>
    <numFmt numFmtId="166" formatCode="00000"/>
    <numFmt numFmtId="167" formatCode="_-* #,##0_-;\-* #,##0_-;_-* &quot;-&quot;??_-;_-@_-"/>
    <numFmt numFmtId="168" formatCode="_-* #,##0.0_-;\-* #,##0.0_-;_-* &quot;-&quot;??_-;_-@_-"/>
    <numFmt numFmtId="169" formatCode="0.0%"/>
    <numFmt numFmtId="170" formatCode="_-* #,##0\ _R_U_B_-;\-* #,##0\ _R_U_B_-;_-* &quot;-&quot;??\ _R_U_B_-;_-@_-"/>
  </numFmts>
  <fonts count="43" x14ac:knownFonts="1">
    <font>
      <sz val="11"/>
      <color theme="1"/>
      <name val="Calibri"/>
      <family val="2"/>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sz val="11"/>
      <color theme="1"/>
      <name val="Calibri"/>
      <family val="2"/>
      <charset val="204"/>
      <scheme val="minor"/>
    </font>
    <font>
      <b/>
      <sz val="11"/>
      <color theme="1"/>
      <name val="Times New Roman"/>
      <family val="1"/>
      <charset val="204"/>
    </font>
    <font>
      <b/>
      <sz val="10"/>
      <color theme="1"/>
      <name val="Times New Roman"/>
      <family val="1"/>
      <charset val="204"/>
    </font>
    <font>
      <sz val="10"/>
      <name val="Tahoma"/>
      <family val="2"/>
    </font>
    <font>
      <b/>
      <sz val="9"/>
      <color indexed="81"/>
      <name val="Tahoma"/>
      <family val="2"/>
      <charset val="204"/>
    </font>
    <font>
      <b/>
      <sz val="11"/>
      <color theme="1"/>
      <name val="Calibri"/>
      <family val="2"/>
      <charset val="204"/>
      <scheme val="minor"/>
    </font>
    <font>
      <sz val="11"/>
      <color theme="1"/>
      <name val="Calibri"/>
      <family val="2"/>
      <charset val="204"/>
      <scheme val="minor"/>
    </font>
    <font>
      <b/>
      <sz val="11"/>
      <color theme="1"/>
      <name val="Calibri"/>
      <family val="2"/>
      <scheme val="minor"/>
    </font>
    <font>
      <sz val="10"/>
      <color theme="1"/>
      <name val="Tahoma"/>
      <family val="2"/>
    </font>
    <font>
      <sz val="11"/>
      <name val="Calibri Light"/>
      <family val="2"/>
      <charset val="204"/>
      <scheme val="major"/>
    </font>
    <font>
      <sz val="11"/>
      <color rgb="FFFF0000"/>
      <name val="Calibri Light"/>
      <family val="2"/>
      <charset val="204"/>
      <scheme val="major"/>
    </font>
    <font>
      <b/>
      <sz val="11"/>
      <color theme="0"/>
      <name val="Calibri Light"/>
      <family val="2"/>
      <charset val="204"/>
      <scheme val="major"/>
    </font>
    <font>
      <b/>
      <sz val="11"/>
      <name val="Calibri Light"/>
      <family val="2"/>
      <charset val="204"/>
      <scheme val="major"/>
    </font>
    <font>
      <b/>
      <sz val="11"/>
      <color theme="1"/>
      <name val="Calibri Light"/>
      <family val="2"/>
      <charset val="204"/>
      <scheme val="major"/>
    </font>
    <font>
      <sz val="11"/>
      <color theme="1"/>
      <name val="Calibri"/>
      <family val="2"/>
      <scheme val="minor"/>
    </font>
    <font>
      <sz val="11"/>
      <color theme="1"/>
      <name val="Calibri Light"/>
      <family val="2"/>
      <charset val="204"/>
      <scheme val="major"/>
    </font>
    <font>
      <b/>
      <sz val="12"/>
      <color theme="1"/>
      <name val="Times New Roman"/>
      <family val="1"/>
      <charset val="204"/>
    </font>
    <font>
      <sz val="11"/>
      <color theme="1"/>
      <name val="Times New Roman"/>
      <family val="1"/>
      <charset val="204"/>
    </font>
    <font>
      <b/>
      <u/>
      <sz val="12"/>
      <color theme="1"/>
      <name val="Times New Roman"/>
      <family val="1"/>
      <charset val="204"/>
    </font>
    <font>
      <sz val="12"/>
      <color theme="1"/>
      <name val="Times New Roman"/>
      <family val="1"/>
      <charset val="204"/>
    </font>
    <font>
      <sz val="10"/>
      <color theme="1"/>
      <name val="Arial"/>
      <family val="2"/>
    </font>
    <font>
      <sz val="11"/>
      <name val="Times New Roman"/>
      <family val="1"/>
      <charset val="204"/>
    </font>
    <font>
      <b/>
      <sz val="11"/>
      <color rgb="FFFF0000"/>
      <name val="Calibri"/>
      <family val="2"/>
      <charset val="204"/>
      <scheme val="minor"/>
    </font>
    <font>
      <i/>
      <sz val="11"/>
      <color rgb="FFFF0000"/>
      <name val="Times New Roman"/>
      <family val="1"/>
      <charset val="204"/>
    </font>
    <font>
      <b/>
      <sz val="11"/>
      <color theme="0"/>
      <name val="Times New Roman"/>
      <family val="1"/>
      <charset val="204"/>
    </font>
    <font>
      <b/>
      <i/>
      <sz val="11"/>
      <color theme="0"/>
      <name val="Times New Roman"/>
      <family val="1"/>
      <charset val="204"/>
    </font>
    <font>
      <sz val="11"/>
      <color theme="0"/>
      <name val="Times New Roman"/>
      <family val="1"/>
      <charset val="204"/>
    </font>
    <font>
      <i/>
      <sz val="11"/>
      <name val="Times New Roman"/>
      <family val="1"/>
      <charset val="204"/>
    </font>
    <font>
      <sz val="11"/>
      <color rgb="FF1F497D"/>
      <name val="Calibri"/>
      <family val="2"/>
      <charset val="204"/>
      <scheme val="minor"/>
    </font>
    <font>
      <b/>
      <sz val="11"/>
      <color theme="1"/>
      <name val="Arial"/>
      <family val="2"/>
      <charset val="204"/>
    </font>
    <font>
      <sz val="11"/>
      <color theme="1"/>
      <name val="Arial"/>
      <family val="2"/>
      <charset val="204"/>
    </font>
    <font>
      <b/>
      <sz val="11"/>
      <color theme="3" tint="0.59999389629810485"/>
      <name val="Arial"/>
      <family val="2"/>
      <charset val="204"/>
    </font>
    <font>
      <b/>
      <sz val="11"/>
      <color theme="2" tint="-9.9978637043366805E-2"/>
      <name val="Arial"/>
      <family val="2"/>
      <charset val="204"/>
    </font>
    <font>
      <sz val="11"/>
      <color theme="3" tint="0.59999389629810485"/>
      <name val="Arial"/>
      <family val="2"/>
      <charset val="204"/>
    </font>
    <font>
      <sz val="12"/>
      <color rgb="FF000000"/>
      <name val="Calibri"/>
      <family val="2"/>
      <scheme val="minor"/>
    </font>
    <font>
      <b/>
      <sz val="16"/>
      <color theme="1"/>
      <name val="Calibri"/>
      <family val="2"/>
      <charset val="204"/>
      <scheme val="minor"/>
    </font>
    <font>
      <sz val="10"/>
      <color theme="1"/>
      <name val="Arial"/>
      <family val="2"/>
      <charset val="204"/>
    </font>
    <font>
      <b/>
      <sz val="11"/>
      <color rgb="FFFF0000"/>
      <name val="Times New Roman"/>
      <family val="1"/>
      <charset val="204"/>
    </font>
  </fonts>
  <fills count="14">
    <fill>
      <patternFill patternType="none"/>
    </fill>
    <fill>
      <patternFill patternType="gray125"/>
    </fill>
    <fill>
      <patternFill patternType="solid">
        <fgColor theme="4" tint="0.79998168889431442"/>
        <bgColor theme="4" tint="0.79998168889431442"/>
      </patternFill>
    </fill>
    <fill>
      <patternFill patternType="solid">
        <fgColor theme="8" tint="-0.249977111117893"/>
        <bgColor theme="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499984740745262"/>
        <bgColor theme="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92D050"/>
        <bgColor indexed="64"/>
      </patternFill>
    </fill>
    <fill>
      <patternFill patternType="solid">
        <fgColor rgb="FFFFC000"/>
        <bgColor indexed="64"/>
      </patternFill>
    </fill>
  </fills>
  <borders count="35">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top style="thin">
        <color theme="0" tint="-0.34998626667073579"/>
      </top>
      <bottom style="thin">
        <color theme="0" tint="-0.34998626667073579"/>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style="thin">
        <color theme="4" tint="0.39997558519241921"/>
      </left>
      <right/>
      <top style="thin">
        <color theme="0" tint="-0.34998626667073579"/>
      </top>
      <bottom style="thin">
        <color theme="0" tint="-0.34998626667073579"/>
      </bottom>
      <diagonal/>
    </border>
    <border>
      <left/>
      <right style="hair">
        <color theme="0" tint="-0.34998626667073579"/>
      </right>
      <top style="thin">
        <color theme="0" tint="-0.499984740745262"/>
      </top>
      <bottom style="thin">
        <color theme="0" tint="-0.499984740745262"/>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bottom style="thin">
        <color indexed="64"/>
      </bottom>
      <diagonal/>
    </border>
    <border>
      <left/>
      <right style="medium">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s>
  <cellStyleXfs count="14">
    <xf numFmtId="0" fontId="0" fillId="0" borderId="0"/>
    <xf numFmtId="0" fontId="11" fillId="0" borderId="0"/>
    <xf numFmtId="0" fontId="13" fillId="0" borderId="0"/>
    <xf numFmtId="43" fontId="19" fillId="0" borderId="0" applyFont="0" applyFill="0" applyBorder="0" applyAlignment="0" applyProtection="0"/>
    <xf numFmtId="0" fontId="5" fillId="0" borderId="0"/>
    <xf numFmtId="0" fontId="25" fillId="0" borderId="0"/>
    <xf numFmtId="0" fontId="4" fillId="0" borderId="0"/>
    <xf numFmtId="0" fontId="3" fillId="0" borderId="0"/>
    <xf numFmtId="0" fontId="2" fillId="0" borderId="0"/>
    <xf numFmtId="164" fontId="2" fillId="0" borderId="0" applyFont="0" applyFill="0" applyBorder="0" applyAlignment="0" applyProtection="0"/>
    <xf numFmtId="9" fontId="2" fillId="0" borderId="0" applyFont="0" applyFill="0" applyBorder="0" applyAlignment="0" applyProtection="0"/>
    <xf numFmtId="0" fontId="1" fillId="0" borderId="0"/>
    <xf numFmtId="164" fontId="1" fillId="0" borderId="0" applyFont="0" applyFill="0" applyBorder="0" applyAlignment="0" applyProtection="0"/>
    <xf numFmtId="9" fontId="1" fillId="0" borderId="0" applyFont="0" applyFill="0" applyBorder="0" applyAlignment="0" applyProtection="0"/>
  </cellStyleXfs>
  <cellXfs count="175">
    <xf numFmtId="0" fontId="0" fillId="0" borderId="0" xfId="0"/>
    <xf numFmtId="0" fontId="8" fillId="2" borderId="3" xfId="0" applyNumberFormat="1" applyFont="1" applyFill="1" applyBorder="1" applyAlignment="1">
      <alignment horizontal="left"/>
    </xf>
    <xf numFmtId="49" fontId="8" fillId="2" borderId="4" xfId="0" applyNumberFormat="1" applyFont="1" applyFill="1" applyBorder="1" applyAlignment="1">
      <alignment horizontal="left"/>
    </xf>
    <xf numFmtId="0" fontId="8" fillId="0" borderId="3" xfId="0" applyNumberFormat="1" applyFont="1" applyBorder="1" applyAlignment="1">
      <alignment horizontal="left"/>
    </xf>
    <xf numFmtId="49" fontId="8" fillId="0" borderId="4" xfId="0" applyNumberFormat="1" applyFont="1" applyBorder="1" applyAlignment="1">
      <alignment horizontal="left"/>
    </xf>
    <xf numFmtId="0" fontId="10" fillId="0" borderId="0" xfId="0" applyFont="1"/>
    <xf numFmtId="0" fontId="10" fillId="0" borderId="0" xfId="0" applyFont="1" applyBorder="1"/>
    <xf numFmtId="0" fontId="10" fillId="2" borderId="0" xfId="0" applyFont="1" applyFill="1" applyBorder="1"/>
    <xf numFmtId="0" fontId="14" fillId="2" borderId="5" xfId="2" applyNumberFormat="1" applyFont="1" applyFill="1" applyBorder="1" applyAlignment="1">
      <alignment horizontal="left" vertical="center"/>
    </xf>
    <xf numFmtId="0" fontId="14" fillId="0" borderId="5" xfId="2" applyNumberFormat="1" applyFont="1" applyBorder="1" applyAlignment="1">
      <alignment horizontal="left" vertical="center"/>
    </xf>
    <xf numFmtId="49" fontId="14" fillId="0" borderId="5" xfId="2" applyNumberFormat="1" applyFont="1" applyBorder="1" applyAlignment="1">
      <alignment horizontal="left" vertical="center"/>
    </xf>
    <xf numFmtId="49" fontId="15" fillId="0" borderId="5" xfId="2" applyNumberFormat="1" applyFont="1" applyBorder="1" applyAlignment="1">
      <alignment horizontal="left" vertical="center"/>
    </xf>
    <xf numFmtId="0" fontId="16" fillId="3" borderId="0" xfId="2" applyNumberFormat="1" applyFont="1" applyFill="1" applyBorder="1" applyAlignment="1">
      <alignment vertical="center"/>
    </xf>
    <xf numFmtId="49" fontId="17" fillId="0" borderId="5" xfId="2" applyNumberFormat="1" applyFont="1" applyBorder="1" applyAlignment="1">
      <alignment horizontal="left" vertical="center"/>
    </xf>
    <xf numFmtId="0" fontId="18" fillId="2" borderId="5" xfId="2" applyFont="1" applyFill="1" applyBorder="1" applyAlignment="1">
      <alignment vertical="center"/>
    </xf>
    <xf numFmtId="0" fontId="12" fillId="0" borderId="0" xfId="0" applyFont="1"/>
    <xf numFmtId="0" fontId="14" fillId="0" borderId="6" xfId="4" applyFont="1" applyFill="1" applyBorder="1" applyAlignment="1">
      <alignment horizontal="left" vertical="center"/>
    </xf>
    <xf numFmtId="0" fontId="14" fillId="0" borderId="6" xfId="4" applyFont="1" applyFill="1" applyBorder="1" applyAlignment="1">
      <alignment vertical="center"/>
    </xf>
    <xf numFmtId="0" fontId="20" fillId="0" borderId="6" xfId="4" applyFont="1" applyFill="1" applyBorder="1" applyAlignment="1">
      <alignment vertical="center"/>
    </xf>
    <xf numFmtId="0" fontId="23" fillId="0" borderId="0" xfId="0" applyFont="1"/>
    <xf numFmtId="0" fontId="24" fillId="0" borderId="0" xfId="0" applyFont="1"/>
    <xf numFmtId="43" fontId="21" fillId="0" borderId="0" xfId="3" applyFont="1" applyFill="1" applyBorder="1" applyAlignment="1">
      <alignment horizontal="left"/>
    </xf>
    <xf numFmtId="0" fontId="24" fillId="0" borderId="0" xfId="0" applyFont="1" applyAlignment="1">
      <alignment horizontal="center"/>
    </xf>
    <xf numFmtId="0" fontId="24" fillId="0" borderId="0" xfId="0" applyFont="1" applyAlignment="1">
      <alignment wrapText="1"/>
    </xf>
    <xf numFmtId="43" fontId="24" fillId="0" borderId="0" xfId="3" applyFont="1" applyAlignment="1">
      <alignment horizontal="center"/>
    </xf>
    <xf numFmtId="43" fontId="24" fillId="0" borderId="0" xfId="3" applyFont="1"/>
    <xf numFmtId="0" fontId="14" fillId="0" borderId="6" xfId="4" applyFont="1" applyFill="1" applyBorder="1" applyAlignment="1">
      <alignment vertical="center" wrapText="1"/>
    </xf>
    <xf numFmtId="43" fontId="24" fillId="0" borderId="0" xfId="3" applyFont="1" applyAlignment="1"/>
    <xf numFmtId="0" fontId="24" fillId="0" borderId="0" xfId="0" applyFont="1" applyAlignment="1"/>
    <xf numFmtId="43" fontId="24" fillId="0" borderId="0" xfId="3" applyFont="1" applyFill="1" applyBorder="1" applyAlignment="1">
      <alignment horizontal="left"/>
    </xf>
    <xf numFmtId="0" fontId="24" fillId="0" borderId="0" xfId="0" applyFont="1" applyAlignment="1">
      <alignment wrapText="1"/>
    </xf>
    <xf numFmtId="0" fontId="24" fillId="0" borderId="0" xfId="0" applyFont="1" applyAlignment="1"/>
    <xf numFmtId="0" fontId="24" fillId="0" borderId="0" xfId="0" applyFont="1" applyAlignment="1">
      <alignment vertical="top"/>
    </xf>
    <xf numFmtId="0" fontId="23" fillId="0" borderId="0" xfId="0" applyFont="1" applyAlignment="1">
      <alignment vertical="top"/>
    </xf>
    <xf numFmtId="0" fontId="14" fillId="0" borderId="0" xfId="7" applyFont="1" applyFill="1" applyBorder="1" applyAlignment="1">
      <alignment vertical="center"/>
    </xf>
    <xf numFmtId="166" fontId="14" fillId="0" borderId="0" xfId="7" applyNumberFormat="1" applyFont="1" applyFill="1" applyBorder="1" applyAlignment="1">
      <alignment vertical="center"/>
    </xf>
    <xf numFmtId="0" fontId="17" fillId="0" borderId="14" xfId="7" applyFont="1" applyFill="1" applyBorder="1" applyAlignment="1">
      <alignment horizontal="center" vertical="center" wrapText="1"/>
    </xf>
    <xf numFmtId="0" fontId="0" fillId="0" borderId="0" xfId="0" applyFill="1"/>
    <xf numFmtId="0" fontId="18" fillId="0" borderId="6" xfId="4" applyFont="1" applyFill="1" applyBorder="1" applyAlignment="1">
      <alignment horizontal="center" vertical="center" wrapText="1"/>
    </xf>
    <xf numFmtId="9" fontId="0" fillId="0" borderId="0" xfId="0" applyNumberFormat="1" applyFill="1"/>
    <xf numFmtId="0" fontId="22" fillId="0" borderId="0" xfId="0" applyFont="1"/>
    <xf numFmtId="0" fontId="22" fillId="0" borderId="0" xfId="0" applyFont="1" applyFill="1" applyBorder="1"/>
    <xf numFmtId="0" fontId="22" fillId="0" borderId="0" xfId="0" applyFont="1" applyFill="1"/>
    <xf numFmtId="0" fontId="26" fillId="0" borderId="13" xfId="2" applyNumberFormat="1" applyFont="1" applyBorder="1" applyAlignment="1">
      <alignment horizontal="left" vertical="center"/>
    </xf>
    <xf numFmtId="49" fontId="26" fillId="0" borderId="5" xfId="2" applyNumberFormat="1" applyFont="1" applyBorder="1" applyAlignment="1">
      <alignment horizontal="left" vertical="center"/>
    </xf>
    <xf numFmtId="0" fontId="26" fillId="2" borderId="13" xfId="2" applyNumberFormat="1" applyFont="1" applyFill="1" applyBorder="1" applyAlignment="1">
      <alignment horizontal="left" vertical="center"/>
    </xf>
    <xf numFmtId="49" fontId="26" fillId="2" borderId="5" xfId="2" applyNumberFormat="1" applyFont="1" applyFill="1" applyBorder="1" applyAlignment="1">
      <alignment horizontal="left" vertical="center"/>
    </xf>
    <xf numFmtId="0" fontId="0" fillId="0" borderId="0" xfId="0" applyAlignment="1">
      <alignment wrapText="1"/>
    </xf>
    <xf numFmtId="0" fontId="6" fillId="0" borderId="2" xfId="0" applyFont="1" applyFill="1" applyBorder="1" applyAlignment="1" applyProtection="1">
      <alignment horizontal="left" vertical="center" wrapText="1"/>
      <protection locked="0"/>
    </xf>
    <xf numFmtId="0" fontId="22" fillId="0" borderId="2" xfId="0" applyFont="1" applyFill="1" applyBorder="1"/>
    <xf numFmtId="0" fontId="6" fillId="0" borderId="16" xfId="0" applyFont="1" applyFill="1" applyBorder="1" applyAlignment="1" applyProtection="1">
      <alignment horizontal="left" vertical="center" wrapText="1"/>
      <protection locked="0"/>
    </xf>
    <xf numFmtId="0" fontId="22" fillId="0" borderId="16" xfId="0" applyFont="1" applyFill="1" applyBorder="1"/>
    <xf numFmtId="0" fontId="6" fillId="10" borderId="18" xfId="0" applyFont="1" applyFill="1" applyBorder="1"/>
    <xf numFmtId="0" fontId="6" fillId="0" borderId="1" xfId="0" applyFont="1" applyFill="1" applyBorder="1" applyAlignment="1" applyProtection="1">
      <alignment horizontal="left" vertical="center" wrapText="1"/>
      <protection locked="0"/>
    </xf>
    <xf numFmtId="0" fontId="22" fillId="0" borderId="1" xfId="0" applyFont="1" applyFill="1" applyBorder="1"/>
    <xf numFmtId="0" fontId="6" fillId="5" borderId="22" xfId="0" applyFont="1" applyFill="1" applyBorder="1"/>
    <xf numFmtId="0" fontId="6" fillId="5" borderId="23" xfId="0" applyFont="1" applyFill="1" applyBorder="1" applyAlignment="1" applyProtection="1">
      <alignment horizontal="center" vertical="center" wrapText="1"/>
      <protection locked="0"/>
    </xf>
    <xf numFmtId="0" fontId="6" fillId="5" borderId="24" xfId="0" applyFont="1" applyFill="1" applyBorder="1" applyAlignment="1" applyProtection="1">
      <alignment horizontal="center" vertical="center" wrapText="1"/>
      <protection locked="0"/>
    </xf>
    <xf numFmtId="0" fontId="6" fillId="5" borderId="23" xfId="0" applyFont="1" applyFill="1" applyBorder="1"/>
    <xf numFmtId="0" fontId="6" fillId="5" borderId="24" xfId="0" applyFont="1" applyFill="1" applyBorder="1"/>
    <xf numFmtId="0" fontId="22" fillId="0" borderId="21" xfId="0" applyFont="1" applyFill="1" applyBorder="1" applyAlignment="1" applyProtection="1">
      <alignment horizontal="left" vertical="center" wrapText="1"/>
      <protection locked="0"/>
    </xf>
    <xf numFmtId="0" fontId="22" fillId="0" borderId="9" xfId="0" applyFont="1" applyFill="1" applyBorder="1" applyAlignment="1" applyProtection="1">
      <alignment horizontal="left" vertical="center" wrapText="1"/>
      <protection locked="0"/>
    </xf>
    <xf numFmtId="0" fontId="22" fillId="0" borderId="20" xfId="0" applyFont="1" applyFill="1" applyBorder="1" applyAlignment="1" applyProtection="1">
      <alignment horizontal="left" vertical="center" wrapText="1"/>
      <protection locked="0"/>
    </xf>
    <xf numFmtId="0" fontId="6" fillId="0" borderId="0" xfId="0" applyFont="1" applyAlignment="1">
      <alignment wrapText="1"/>
    </xf>
    <xf numFmtId="0" fontId="22" fillId="10" borderId="0" xfId="0" applyFont="1" applyFill="1"/>
    <xf numFmtId="43" fontId="22" fillId="0" borderId="0" xfId="3" applyFont="1"/>
    <xf numFmtId="0" fontId="22" fillId="6" borderId="0" xfId="6" applyFont="1" applyFill="1" applyAlignment="1">
      <alignment vertical="center"/>
    </xf>
    <xf numFmtId="0" fontId="28" fillId="6" borderId="0" xfId="6" applyFont="1" applyFill="1" applyAlignment="1">
      <alignment vertical="center"/>
    </xf>
    <xf numFmtId="0" fontId="22" fillId="0" borderId="0" xfId="2" applyFont="1" applyFill="1" applyAlignment="1">
      <alignment vertical="center"/>
    </xf>
    <xf numFmtId="0" fontId="29" fillId="7" borderId="11" xfId="2" applyFont="1" applyFill="1" applyBorder="1" applyAlignment="1">
      <alignment vertical="center"/>
    </xf>
    <xf numFmtId="0" fontId="29" fillId="7" borderId="12" xfId="2" applyFont="1" applyFill="1" applyBorder="1" applyAlignment="1">
      <alignment vertical="center"/>
    </xf>
    <xf numFmtId="0" fontId="29" fillId="7" borderId="0" xfId="2" applyFont="1" applyFill="1" applyBorder="1" applyAlignment="1">
      <alignment vertical="center"/>
    </xf>
    <xf numFmtId="0" fontId="29" fillId="3" borderId="0" xfId="2" applyNumberFormat="1" applyFont="1" applyFill="1" applyBorder="1" applyAlignment="1">
      <alignment vertical="center"/>
    </xf>
    <xf numFmtId="0" fontId="30" fillId="7" borderId="12" xfId="2" applyFont="1" applyFill="1" applyBorder="1" applyAlignment="1">
      <alignment vertical="center"/>
    </xf>
    <xf numFmtId="0" fontId="31" fillId="3" borderId="0" xfId="2" applyFont="1" applyFill="1" applyBorder="1" applyAlignment="1">
      <alignment horizontal="center" vertical="center" textRotation="90" wrapText="1"/>
    </xf>
    <xf numFmtId="0" fontId="31" fillId="7" borderId="0" xfId="2" applyFont="1" applyFill="1" applyBorder="1" applyAlignment="1">
      <alignment horizontal="center" vertical="center" textRotation="90" wrapText="1"/>
    </xf>
    <xf numFmtId="0" fontId="26" fillId="2" borderId="5" xfId="2" applyFont="1" applyFill="1" applyBorder="1" applyAlignment="1">
      <alignment vertical="center"/>
    </xf>
    <xf numFmtId="0" fontId="26" fillId="2" borderId="5" xfId="2" applyNumberFormat="1" applyFont="1" applyFill="1" applyBorder="1" applyAlignment="1">
      <alignment horizontal="left" vertical="center"/>
    </xf>
    <xf numFmtId="0" fontId="32" fillId="2" borderId="5" xfId="2" quotePrefix="1" applyFont="1" applyFill="1" applyBorder="1" applyAlignment="1">
      <alignment vertical="center"/>
    </xf>
    <xf numFmtId="0" fontId="26" fillId="2" borderId="5" xfId="2" applyFont="1" applyFill="1" applyBorder="1" applyAlignment="1">
      <alignment horizontal="center" vertical="center"/>
    </xf>
    <xf numFmtId="0" fontId="26" fillId="0" borderId="5" xfId="2" applyFont="1" applyFill="1" applyBorder="1" applyAlignment="1">
      <alignment vertical="center"/>
    </xf>
    <xf numFmtId="0" fontId="22" fillId="0" borderId="5" xfId="2" applyFont="1" applyBorder="1" applyAlignment="1">
      <alignment vertical="center"/>
    </xf>
    <xf numFmtId="0" fontId="26" fillId="0" borderId="5" xfId="6" applyFont="1" applyFill="1" applyBorder="1" applyAlignment="1">
      <alignment vertical="center"/>
    </xf>
    <xf numFmtId="0" fontId="28" fillId="0" borderId="5" xfId="2" applyFont="1" applyFill="1" applyBorder="1" applyAlignment="1">
      <alignment vertical="center"/>
    </xf>
    <xf numFmtId="49" fontId="26" fillId="0" borderId="5" xfId="2" applyNumberFormat="1" applyFont="1" applyBorder="1" applyAlignment="1">
      <alignment horizontal="center" vertical="center"/>
    </xf>
    <xf numFmtId="0" fontId="22" fillId="0" borderId="5" xfId="2" applyFont="1" applyFill="1" applyBorder="1" applyAlignment="1">
      <alignment vertical="center"/>
    </xf>
    <xf numFmtId="0" fontId="26" fillId="8" borderId="13" xfId="2" applyNumberFormat="1" applyFont="1" applyFill="1" applyBorder="1" applyAlignment="1">
      <alignment horizontal="left" vertical="center"/>
    </xf>
    <xf numFmtId="49" fontId="26" fillId="8" borderId="5" xfId="2" applyNumberFormat="1" applyFont="1" applyFill="1" applyBorder="1" applyAlignment="1">
      <alignment horizontal="left" vertical="center"/>
    </xf>
    <xf numFmtId="0" fontId="22" fillId="8" borderId="5" xfId="2" applyFont="1" applyFill="1" applyBorder="1" applyAlignment="1">
      <alignment vertical="center"/>
    </xf>
    <xf numFmtId="0" fontId="26" fillId="8" borderId="5" xfId="6" applyFont="1" applyFill="1" applyBorder="1" applyAlignment="1">
      <alignment vertical="center"/>
    </xf>
    <xf numFmtId="0" fontId="28" fillId="8" borderId="5" xfId="2" applyFont="1" applyFill="1" applyBorder="1" applyAlignment="1">
      <alignment vertical="center"/>
    </xf>
    <xf numFmtId="49" fontId="26" fillId="8" borderId="5" xfId="2" applyNumberFormat="1" applyFont="1" applyFill="1" applyBorder="1" applyAlignment="1">
      <alignment horizontal="center" vertical="center"/>
    </xf>
    <xf numFmtId="0" fontId="26" fillId="9" borderId="13" xfId="2" applyNumberFormat="1" applyFont="1" applyFill="1" applyBorder="1" applyAlignment="1">
      <alignment horizontal="left" vertical="center"/>
    </xf>
    <xf numFmtId="49" fontId="26" fillId="9" borderId="5" xfId="2" applyNumberFormat="1" applyFont="1" applyFill="1" applyBorder="1" applyAlignment="1">
      <alignment horizontal="left" vertical="center"/>
    </xf>
    <xf numFmtId="0" fontId="22" fillId="9" borderId="5" xfId="2" applyFont="1" applyFill="1" applyBorder="1" applyAlignment="1">
      <alignment vertical="center"/>
    </xf>
    <xf numFmtId="0" fontId="26" fillId="9" borderId="5" xfId="6" applyFont="1" applyFill="1" applyBorder="1" applyAlignment="1">
      <alignment vertical="center"/>
    </xf>
    <xf numFmtId="0" fontId="28" fillId="9" borderId="5" xfId="2" applyFont="1" applyFill="1" applyBorder="1" applyAlignment="1">
      <alignment vertical="center"/>
    </xf>
    <xf numFmtId="49" fontId="26" fillId="9" borderId="5" xfId="2" applyNumberFormat="1" applyFont="1" applyFill="1" applyBorder="1" applyAlignment="1">
      <alignment horizontal="center" vertical="center"/>
    </xf>
    <xf numFmtId="0" fontId="22" fillId="0" borderId="0" xfId="6" applyFont="1" applyFill="1" applyAlignment="1">
      <alignment vertical="center"/>
    </xf>
    <xf numFmtId="0" fontId="28" fillId="0" borderId="0" xfId="6" applyFont="1" applyFill="1" applyAlignment="1">
      <alignment vertical="center"/>
    </xf>
    <xf numFmtId="0" fontId="22" fillId="0" borderId="0" xfId="6" applyFont="1" applyFill="1" applyAlignment="1">
      <alignment horizontal="center" vertical="center"/>
    </xf>
    <xf numFmtId="0" fontId="33" fillId="0" borderId="0" xfId="0" applyFont="1" applyAlignment="1">
      <alignment vertical="center" wrapText="1"/>
    </xf>
    <xf numFmtId="0" fontId="6" fillId="0" borderId="0" xfId="0" applyFont="1" applyAlignment="1">
      <alignment horizontal="right" wrapText="1"/>
    </xf>
    <xf numFmtId="0" fontId="6" fillId="0" borderId="0" xfId="0" applyFont="1"/>
    <xf numFmtId="0" fontId="34" fillId="5" borderId="2" xfId="11" applyFont="1" applyFill="1" applyBorder="1" applyAlignment="1">
      <alignment horizontal="center" vertical="center" wrapText="1"/>
    </xf>
    <xf numFmtId="14" fontId="34" fillId="5" borderId="2" xfId="11" applyNumberFormat="1" applyFont="1" applyFill="1" applyBorder="1" applyAlignment="1">
      <alignment horizontal="center" vertical="center" wrapText="1"/>
    </xf>
    <xf numFmtId="0" fontId="34" fillId="11" borderId="2" xfId="11" applyFont="1" applyFill="1" applyBorder="1" applyAlignment="1">
      <alignment horizontal="center" vertical="center" wrapText="1"/>
    </xf>
    <xf numFmtId="0" fontId="35" fillId="0" borderId="0" xfId="11" applyFont="1"/>
    <xf numFmtId="14" fontId="34" fillId="0" borderId="2" xfId="11" applyNumberFormat="1" applyFont="1" applyFill="1" applyBorder="1" applyAlignment="1">
      <alignment horizontal="center" vertical="center" wrapText="1"/>
    </xf>
    <xf numFmtId="0" fontId="34" fillId="0" borderId="2" xfId="11" applyFont="1" applyFill="1" applyBorder="1" applyAlignment="1">
      <alignment horizontal="center" vertical="center" wrapText="1"/>
    </xf>
    <xf numFmtId="167" fontId="34" fillId="0" borderId="2" xfId="12" applyNumberFormat="1" applyFont="1" applyFill="1" applyBorder="1" applyAlignment="1">
      <alignment horizontal="center" vertical="center" wrapText="1"/>
    </xf>
    <xf numFmtId="168" fontId="34" fillId="0" borderId="2" xfId="12" applyNumberFormat="1" applyFont="1" applyFill="1" applyBorder="1" applyAlignment="1">
      <alignment horizontal="left" vertical="center" wrapText="1" indent="6"/>
    </xf>
    <xf numFmtId="167" fontId="34" fillId="12" borderId="2" xfId="12" applyNumberFormat="1" applyFont="1" applyFill="1" applyBorder="1" applyAlignment="1">
      <alignment horizontal="center" vertical="center" wrapText="1"/>
    </xf>
    <xf numFmtId="169" fontId="34" fillId="0" borderId="2" xfId="13" applyNumberFormat="1" applyFont="1" applyFill="1" applyBorder="1" applyAlignment="1">
      <alignment horizontal="center" vertical="center" wrapText="1"/>
    </xf>
    <xf numFmtId="167" fontId="34" fillId="13" borderId="2" xfId="12" applyNumberFormat="1" applyFont="1" applyFill="1" applyBorder="1" applyAlignment="1">
      <alignment horizontal="center" vertical="center" wrapText="1"/>
    </xf>
    <xf numFmtId="168" fontId="34" fillId="0" borderId="2" xfId="12" applyNumberFormat="1" applyFont="1" applyFill="1" applyBorder="1" applyAlignment="1">
      <alignment horizontal="center" vertical="center" wrapText="1"/>
    </xf>
    <xf numFmtId="0" fontId="35" fillId="0" borderId="0" xfId="11" applyFont="1" applyFill="1"/>
    <xf numFmtId="167" fontId="36" fillId="0" borderId="2" xfId="12" applyNumberFormat="1" applyFont="1" applyFill="1" applyBorder="1" applyAlignment="1">
      <alignment horizontal="center" vertical="center" wrapText="1"/>
    </xf>
    <xf numFmtId="14" fontId="36" fillId="0" borderId="2" xfId="11" applyNumberFormat="1" applyFont="1" applyFill="1" applyBorder="1" applyAlignment="1">
      <alignment horizontal="center" vertical="center" wrapText="1"/>
    </xf>
    <xf numFmtId="0" fontId="36" fillId="0" borderId="2" xfId="11" applyFont="1" applyFill="1" applyBorder="1" applyAlignment="1">
      <alignment horizontal="center" vertical="center" wrapText="1"/>
    </xf>
    <xf numFmtId="164" fontId="36" fillId="0" borderId="2" xfId="11" applyNumberFormat="1" applyFont="1" applyFill="1" applyBorder="1" applyAlignment="1">
      <alignment horizontal="center" vertical="center" wrapText="1"/>
    </xf>
    <xf numFmtId="168" fontId="36" fillId="0" borderId="2" xfId="12" applyNumberFormat="1" applyFont="1" applyFill="1" applyBorder="1" applyAlignment="1">
      <alignment horizontal="center" vertical="center" wrapText="1"/>
    </xf>
    <xf numFmtId="167" fontId="37" fillId="0" borderId="2" xfId="12" applyNumberFormat="1" applyFont="1" applyFill="1" applyBorder="1" applyAlignment="1">
      <alignment horizontal="center" vertical="center" wrapText="1"/>
    </xf>
    <xf numFmtId="0" fontId="38" fillId="0" borderId="0" xfId="11" applyFont="1" applyFill="1"/>
    <xf numFmtId="10" fontId="35" fillId="0" borderId="0" xfId="11" applyNumberFormat="1" applyFont="1"/>
    <xf numFmtId="0" fontId="10" fillId="5" borderId="31" xfId="0" applyFont="1" applyFill="1" applyBorder="1" applyAlignment="1">
      <alignment horizontal="center" vertical="center" wrapText="1"/>
    </xf>
    <xf numFmtId="0" fontId="10" fillId="5" borderId="32" xfId="0" applyFont="1" applyFill="1" applyBorder="1" applyAlignment="1">
      <alignment horizontal="center" vertical="center" wrapText="1"/>
    </xf>
    <xf numFmtId="43" fontId="10" fillId="5" borderId="32" xfId="3" applyFont="1" applyFill="1" applyBorder="1" applyAlignment="1">
      <alignment horizontal="center" vertical="center" wrapText="1"/>
    </xf>
    <xf numFmtId="0" fontId="10" fillId="5" borderId="33" xfId="0" applyFont="1" applyFill="1" applyBorder="1" applyAlignment="1">
      <alignment horizontal="center" vertical="center" wrapText="1"/>
    </xf>
    <xf numFmtId="0" fontId="10" fillId="5" borderId="28" xfId="0" applyFont="1" applyFill="1" applyBorder="1" applyAlignment="1">
      <alignment horizontal="center" vertical="center" wrapText="1"/>
    </xf>
    <xf numFmtId="0" fontId="10" fillId="5" borderId="0" xfId="0" applyFont="1" applyFill="1" applyBorder="1" applyAlignment="1">
      <alignment horizontal="center" vertical="center" wrapText="1"/>
    </xf>
    <xf numFmtId="43" fontId="10" fillId="5" borderId="0" xfId="3" applyFont="1" applyFill="1" applyBorder="1" applyAlignment="1">
      <alignment horizontal="center" vertical="center" wrapText="1"/>
    </xf>
    <xf numFmtId="0" fontId="10" fillId="5" borderId="19" xfId="0" applyFont="1" applyFill="1" applyBorder="1" applyAlignment="1">
      <alignment horizontal="center" vertical="center" wrapText="1"/>
    </xf>
    <xf numFmtId="170" fontId="39" fillId="0" borderId="2" xfId="3" applyNumberFormat="1" applyFont="1" applyBorder="1" applyAlignment="1">
      <alignment vertical="center"/>
    </xf>
    <xf numFmtId="14" fontId="0" fillId="0" borderId="0" xfId="0" applyNumberFormat="1" applyBorder="1"/>
    <xf numFmtId="43" fontId="0" fillId="0" borderId="0" xfId="3" applyFont="1" applyBorder="1"/>
    <xf numFmtId="0" fontId="0" fillId="5" borderId="0" xfId="0" applyFill="1" applyBorder="1"/>
    <xf numFmtId="165" fontId="0" fillId="5" borderId="0" xfId="3" applyNumberFormat="1" applyFont="1" applyFill="1" applyBorder="1"/>
    <xf numFmtId="165" fontId="0" fillId="0" borderId="0" xfId="3" applyNumberFormat="1" applyFont="1" applyBorder="1"/>
    <xf numFmtId="165" fontId="0" fillId="0" borderId="0" xfId="3" applyNumberFormat="1" applyFont="1" applyFill="1" applyBorder="1"/>
    <xf numFmtId="165" fontId="0" fillId="5" borderId="19" xfId="0" applyNumberFormat="1" applyFill="1" applyBorder="1"/>
    <xf numFmtId="0" fontId="10" fillId="0" borderId="29" xfId="0" applyFont="1" applyBorder="1"/>
    <xf numFmtId="0" fontId="10" fillId="0" borderId="30" xfId="0" applyFont="1" applyBorder="1"/>
    <xf numFmtId="43" fontId="10" fillId="0" borderId="30" xfId="3" applyFont="1" applyBorder="1"/>
    <xf numFmtId="165" fontId="10" fillId="0" borderId="30" xfId="0" applyNumberFormat="1" applyFont="1" applyBorder="1"/>
    <xf numFmtId="165" fontId="27" fillId="0" borderId="30" xfId="0" applyNumberFormat="1" applyFont="1" applyBorder="1"/>
    <xf numFmtId="165" fontId="27" fillId="0" borderId="34" xfId="0" applyNumberFormat="1" applyFont="1" applyBorder="1"/>
    <xf numFmtId="0" fontId="40" fillId="0" borderId="0" xfId="0" applyFont="1"/>
    <xf numFmtId="170" fontId="39" fillId="0" borderId="0" xfId="3" applyNumberFormat="1" applyFont="1" applyFill="1" applyBorder="1" applyAlignment="1">
      <alignment vertical="center"/>
    </xf>
    <xf numFmtId="165" fontId="0" fillId="0" borderId="0" xfId="0" applyNumberFormat="1"/>
    <xf numFmtId="0" fontId="0" fillId="0" borderId="2" xfId="0" applyBorder="1"/>
    <xf numFmtId="0" fontId="0" fillId="0" borderId="2" xfId="0" applyBorder="1" applyAlignment="1">
      <alignment horizontal="center" wrapText="1"/>
    </xf>
    <xf numFmtId="0" fontId="0" fillId="0" borderId="2" xfId="0" applyBorder="1" applyAlignment="1">
      <alignment wrapText="1"/>
    </xf>
    <xf numFmtId="0" fontId="0" fillId="0" borderId="2" xfId="0" applyBorder="1" applyAlignment="1">
      <alignment horizontal="center" vertical="center"/>
    </xf>
    <xf numFmtId="0" fontId="41" fillId="0" borderId="2" xfId="0" applyFont="1" applyBorder="1" applyAlignment="1">
      <alignment wrapText="1"/>
    </xf>
    <xf numFmtId="0" fontId="41" fillId="0" borderId="2" xfId="0" applyFont="1" applyBorder="1"/>
    <xf numFmtId="0" fontId="0" fillId="0" borderId="0" xfId="0" applyBorder="1"/>
    <xf numFmtId="0" fontId="27" fillId="0" borderId="0" xfId="0" applyFont="1"/>
    <xf numFmtId="0" fontId="41" fillId="0" borderId="0" xfId="0" applyFont="1" applyAlignment="1">
      <alignment horizontal="center" vertical="center" wrapText="1"/>
    </xf>
    <xf numFmtId="0" fontId="40" fillId="0" borderId="0" xfId="0" applyFont="1" applyAlignment="1">
      <alignment horizontal="center" wrapText="1"/>
    </xf>
    <xf numFmtId="43" fontId="42" fillId="0" borderId="15" xfId="3" applyFont="1" applyBorder="1"/>
    <xf numFmtId="0" fontId="24" fillId="0" borderId="0" xfId="0" applyFont="1" applyAlignment="1">
      <alignment horizontal="left" wrapText="1"/>
    </xf>
    <xf numFmtId="0" fontId="6" fillId="5" borderId="25" xfId="0" applyFont="1" applyFill="1" applyBorder="1" applyAlignment="1" applyProtection="1">
      <alignment horizontal="left" vertical="center" wrapText="1"/>
      <protection locked="0"/>
    </xf>
    <xf numFmtId="0" fontId="6" fillId="5" borderId="26" xfId="0" applyFont="1" applyFill="1" applyBorder="1" applyAlignment="1" applyProtection="1">
      <alignment horizontal="left" vertical="center" wrapText="1"/>
      <protection locked="0"/>
    </xf>
    <xf numFmtId="0" fontId="6" fillId="5" borderId="27" xfId="0" applyFont="1" applyFill="1" applyBorder="1" applyAlignment="1" applyProtection="1">
      <alignment horizontal="left" vertical="center" wrapText="1"/>
      <protection locked="0"/>
    </xf>
    <xf numFmtId="0" fontId="7" fillId="4" borderId="9" xfId="0" applyFont="1" applyFill="1" applyBorder="1" applyAlignment="1" applyProtection="1">
      <alignment horizontal="left" vertical="center" wrapText="1"/>
    </xf>
    <xf numFmtId="0" fontId="7" fillId="4" borderId="2" xfId="0" applyFont="1" applyFill="1" applyBorder="1" applyAlignment="1" applyProtection="1">
      <alignment horizontal="left" vertical="center" wrapText="1"/>
    </xf>
    <xf numFmtId="165" fontId="7" fillId="4" borderId="2" xfId="3" applyNumberFormat="1" applyFont="1" applyFill="1" applyBorder="1" applyAlignment="1" applyProtection="1">
      <alignment horizontal="left" vertical="center" wrapText="1"/>
    </xf>
    <xf numFmtId="165" fontId="7" fillId="4" borderId="10" xfId="3" applyNumberFormat="1" applyFont="1" applyFill="1" applyBorder="1" applyAlignment="1" applyProtection="1">
      <alignment horizontal="left" vertical="center" wrapText="1"/>
    </xf>
    <xf numFmtId="0" fontId="7" fillId="4" borderId="7" xfId="0" applyFont="1" applyFill="1" applyBorder="1" applyAlignment="1" applyProtection="1">
      <alignment horizontal="left" vertical="center" wrapText="1"/>
    </xf>
    <xf numFmtId="0" fontId="7" fillId="4" borderId="17" xfId="0" applyFont="1" applyFill="1" applyBorder="1" applyAlignment="1" applyProtection="1">
      <alignment horizontal="left" vertical="center" wrapText="1"/>
    </xf>
    <xf numFmtId="165" fontId="7" fillId="0" borderId="17" xfId="3" applyNumberFormat="1" applyFont="1" applyBorder="1" applyAlignment="1" applyProtection="1">
      <alignment horizontal="center" vertical="center"/>
      <protection locked="0"/>
    </xf>
    <xf numFmtId="165" fontId="7" fillId="0" borderId="8" xfId="3" applyNumberFormat="1" applyFont="1" applyBorder="1" applyAlignment="1" applyProtection="1">
      <alignment horizontal="center" vertical="center"/>
      <protection locked="0"/>
    </xf>
    <xf numFmtId="165" fontId="7" fillId="0" borderId="2" xfId="3" applyNumberFormat="1" applyFont="1" applyBorder="1" applyAlignment="1" applyProtection="1">
      <alignment horizontal="center" vertical="center"/>
      <protection locked="0"/>
    </xf>
    <xf numFmtId="165" fontId="7" fillId="0" borderId="10" xfId="3" applyNumberFormat="1" applyFont="1" applyBorder="1" applyAlignment="1" applyProtection="1">
      <alignment horizontal="center" vertical="center"/>
      <protection locked="0"/>
    </xf>
  </cellXfs>
  <cellStyles count="14">
    <cellStyle name="Comma" xfId="3" builtinId="3"/>
    <cellStyle name="Comma 2" xfId="9"/>
    <cellStyle name="Comma 3" xfId="12"/>
    <cellStyle name="Normal" xfId="0" builtinId="0"/>
    <cellStyle name="Normal 2" xfId="5"/>
    <cellStyle name="Normal 2 4" xfId="2"/>
    <cellStyle name="Normal 23" xfId="8"/>
    <cellStyle name="Normal 3" xfId="11"/>
    <cellStyle name="Percent 2" xfId="10"/>
    <cellStyle name="Percent 3" xfId="13"/>
    <cellStyle name="Обычный 10 2 2" xfId="7"/>
    <cellStyle name="Обычный 17 2" xfId="1"/>
    <cellStyle name="Обычный 17 2 2" xfId="6"/>
    <cellStyle name="Обычный 21 3" xfId="4"/>
  </cellStyles>
  <dxfs count="252">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ont>
        <strike val="0"/>
      </font>
      <fill>
        <patternFill>
          <bgColor rgb="FFFFCCCC"/>
        </patternFill>
      </fill>
    </dxf>
    <dxf>
      <fill>
        <patternFill>
          <bgColor rgb="FFCCFF99"/>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ont>
        <strike val="0"/>
      </font>
      <fill>
        <patternFill>
          <bgColor rgb="FFFFCCCC"/>
        </patternFill>
      </fill>
    </dxf>
    <dxf>
      <fill>
        <patternFill>
          <bgColor rgb="FFCCFF99"/>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ont>
        <strike val="0"/>
      </font>
      <fill>
        <patternFill>
          <bgColor rgb="FFFFCCCC"/>
        </patternFill>
      </fill>
    </dxf>
    <dxf>
      <fill>
        <patternFill>
          <bgColor rgb="FFCCFF99"/>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ont>
        <strike val="0"/>
      </font>
      <fill>
        <patternFill>
          <bgColor rgb="FFFFCCCC"/>
        </patternFill>
      </fill>
    </dxf>
    <dxf>
      <fill>
        <patternFill>
          <bgColor rgb="FFCCFF99"/>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ont>
        <strike val="0"/>
      </font>
      <fill>
        <patternFill>
          <bgColor rgb="FFFFCCCC"/>
        </patternFill>
      </fill>
    </dxf>
    <dxf>
      <fill>
        <patternFill>
          <bgColor rgb="FFCCFF99"/>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ont>
        <strike val="0"/>
      </font>
      <fill>
        <patternFill>
          <bgColor rgb="FFFFCCCC"/>
        </patternFill>
      </fill>
    </dxf>
    <dxf>
      <fill>
        <patternFill>
          <bgColor rgb="FFCCFF99"/>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ill>
        <patternFill>
          <bgColor rgb="FFCCFF99"/>
        </patternFill>
      </fill>
    </dxf>
    <dxf>
      <fill>
        <patternFill>
          <bgColor rgb="FFFFCCCC"/>
        </patternFill>
      </fill>
    </dxf>
    <dxf>
      <font>
        <strike val="0"/>
      </font>
      <fill>
        <patternFill>
          <bgColor rgb="FFFFCCCC"/>
        </patternFill>
      </fill>
    </dxf>
    <dxf>
      <fill>
        <patternFill>
          <bgColor rgb="FFCCFF99"/>
        </patternFill>
      </fill>
    </dxf>
  </dxfs>
  <tableStyles count="0" defaultTableStyle="TableStyleMedium2" defaultPivotStyle="PivotStyleLight16"/>
  <colors>
    <mruColors>
      <color rgb="FFFFCC00"/>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4.xml"/></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6</xdr:col>
      <xdr:colOff>369793</xdr:colOff>
      <xdr:row>41</xdr:row>
      <xdr:rowOff>51547</xdr:rowOff>
    </xdr:to>
    <xdr:sp macro="" textlink="">
      <xdr:nvSpPr>
        <xdr:cNvPr id="5" name="TextBox 4">
          <a:extLst>
            <a:ext uri="{FF2B5EF4-FFF2-40B4-BE49-F238E27FC236}">
              <a16:creationId xmlns:a16="http://schemas.microsoft.com/office/drawing/2014/main" id="{B6529565-5CC0-449A-8A8C-2B0086982B92}"/>
            </a:ext>
          </a:extLst>
        </xdr:cNvPr>
        <xdr:cNvSpPr txBox="1"/>
      </xdr:nvSpPr>
      <xdr:spPr>
        <a:xfrm>
          <a:off x="246529" y="201706"/>
          <a:ext cx="7743264" cy="79292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ru-RU" sz="1400" b="1">
              <a:latin typeface="Times New Roman" panose="02020603050405020304" pitchFamily="18" charset="0"/>
              <a:cs typeface="Times New Roman" panose="02020603050405020304" pitchFamily="18" charset="0"/>
            </a:rPr>
            <a:t>Рекомендации</a:t>
          </a:r>
          <a:endParaRPr lang="en-US" sz="1400" b="1">
            <a:latin typeface="Times New Roman" panose="02020603050405020304" pitchFamily="18" charset="0"/>
            <a:cs typeface="Times New Roman" panose="02020603050405020304" pitchFamily="18" charset="0"/>
          </a:endParaRPr>
        </a:p>
        <a:p>
          <a:endParaRPr lang="en-US" sz="1400" b="1">
            <a:latin typeface="Times New Roman" panose="02020603050405020304" pitchFamily="18" charset="0"/>
            <a:cs typeface="Times New Roman" panose="02020603050405020304" pitchFamily="18" charset="0"/>
          </a:endParaRPr>
        </a:p>
        <a:p>
          <a:pPr marL="0" indent="0"/>
          <a:r>
            <a:rPr lang="ru-RU" sz="1100" b="1">
              <a:solidFill>
                <a:schemeClr val="dk1"/>
              </a:solidFill>
              <a:effectLst/>
              <a:latin typeface="+mn-lt"/>
              <a:ea typeface="+mn-ea"/>
              <a:cs typeface="+mn-cs"/>
            </a:rPr>
            <a:t>Бюджет заполняется менеджером проекта и подписывается Руководителем проекта. Если у вас есть сложности с заполнением, то можно заполнить бюджет вместе с Финансовыми менеджерами. </a:t>
          </a:r>
        </a:p>
        <a:p>
          <a:pPr marL="0" indent="0"/>
          <a:endParaRPr lang="ru-RU" sz="1100" b="1">
            <a:solidFill>
              <a:schemeClr val="dk1"/>
            </a:solidFill>
            <a:effectLst/>
            <a:latin typeface="+mn-lt"/>
            <a:ea typeface="+mn-ea"/>
            <a:cs typeface="+mn-cs"/>
          </a:endParaRPr>
        </a:p>
        <a:p>
          <a:pPr marL="0" indent="0"/>
          <a:r>
            <a:rPr lang="ru-RU" sz="1100">
              <a:solidFill>
                <a:schemeClr val="dk1"/>
              </a:solidFill>
              <a:effectLst/>
              <a:latin typeface="Times New Roman" panose="02020603050405020304" pitchFamily="18" charset="0"/>
              <a:ea typeface="+mn-ea"/>
              <a:cs typeface="Times New Roman" panose="02020603050405020304" pitchFamily="18" charset="0"/>
            </a:rPr>
            <a:t>1)</a:t>
          </a:r>
          <a:r>
            <a:rPr lang="ru-RU" sz="1100" baseline="0">
              <a:solidFill>
                <a:schemeClr val="dk1"/>
              </a:solidFill>
              <a:effectLst/>
              <a:latin typeface="Times New Roman" panose="02020603050405020304" pitchFamily="18" charset="0"/>
              <a:ea typeface="+mn-ea"/>
              <a:cs typeface="Times New Roman" panose="02020603050405020304" pitchFamily="18" charset="0"/>
            </a:rPr>
            <a:t> </a:t>
          </a:r>
          <a:r>
            <a:rPr lang="ru-RU" sz="1100">
              <a:solidFill>
                <a:schemeClr val="dk1"/>
              </a:solidFill>
              <a:effectLst/>
              <a:latin typeface="Times New Roman" panose="02020603050405020304" pitchFamily="18" charset="0"/>
              <a:ea typeface="+mn-ea"/>
              <a:cs typeface="Times New Roman" panose="02020603050405020304" pitchFamily="18" charset="0"/>
            </a:rPr>
            <a:t>Бюджет заполняется отдельно:</a:t>
          </a: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a:solidFill>
                <a:schemeClr val="dk1"/>
              </a:solidFill>
              <a:effectLst/>
              <a:latin typeface="Times New Roman" panose="02020603050405020304" pitchFamily="18" charset="0"/>
              <a:ea typeface="+mn-ea"/>
              <a:cs typeface="Times New Roman" panose="02020603050405020304" pitchFamily="18" charset="0"/>
            </a:rPr>
            <a:t>- для каждого бюджетного года;</a:t>
          </a: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a:solidFill>
                <a:schemeClr val="dk1"/>
              </a:solidFill>
              <a:effectLst/>
              <a:latin typeface="Times New Roman" panose="02020603050405020304" pitchFamily="18" charset="0"/>
              <a:ea typeface="+mn-ea"/>
              <a:cs typeface="Times New Roman" panose="02020603050405020304" pitchFamily="18" charset="0"/>
            </a:rPr>
            <a:t>- для каждого источника</a:t>
          </a:r>
          <a:r>
            <a:rPr lang="en-US" sz="1100">
              <a:solidFill>
                <a:schemeClr val="dk1"/>
              </a:solidFill>
              <a:effectLst/>
              <a:latin typeface="Times New Roman" panose="02020603050405020304" pitchFamily="18" charset="0"/>
              <a:ea typeface="+mn-ea"/>
              <a:cs typeface="Times New Roman" panose="02020603050405020304" pitchFamily="18" charset="0"/>
            </a:rPr>
            <a:t> </a:t>
          </a:r>
          <a:r>
            <a:rPr lang="ru-RU" sz="1100">
              <a:solidFill>
                <a:schemeClr val="dk1"/>
              </a:solidFill>
              <a:effectLst/>
              <a:latin typeface="Times New Roman" panose="02020603050405020304" pitchFamily="18" charset="0"/>
              <a:ea typeface="+mn-ea"/>
              <a:cs typeface="Times New Roman" panose="02020603050405020304" pitchFamily="18" charset="0"/>
            </a:rPr>
            <a:t>финансирования.</a:t>
          </a:r>
        </a:p>
        <a:p>
          <a:pPr lvl="0"/>
          <a:endParaRPr lang="en-US" sz="1100" baseline="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baseline="0">
              <a:solidFill>
                <a:schemeClr val="dk1"/>
              </a:solidFill>
              <a:effectLst/>
              <a:latin typeface="Times New Roman" panose="02020603050405020304" pitchFamily="18" charset="0"/>
              <a:ea typeface="+mn-ea"/>
              <a:cs typeface="Times New Roman" panose="02020603050405020304" pitchFamily="18" charset="0"/>
            </a:rPr>
            <a:t>Чтобы заполнить бюджет по другой аналитике или по другому году достаточно скопировать лист с бюджетом и переименовать его ("год"_"источник")</a:t>
          </a:r>
        </a:p>
        <a:p>
          <a:pPr lvl="0"/>
          <a:r>
            <a:rPr lang="ru-RU" sz="1100" baseline="0">
              <a:solidFill>
                <a:schemeClr val="dk1"/>
              </a:solidFill>
              <a:effectLst/>
              <a:latin typeface="Times New Roman" panose="02020603050405020304" pitchFamily="18" charset="0"/>
              <a:ea typeface="+mn-ea"/>
              <a:cs typeface="Times New Roman" panose="02020603050405020304" pitchFamily="18" charset="0"/>
            </a:rPr>
            <a:t> </a:t>
          </a:r>
          <a:endParaRPr lang="en-US" sz="1100" baseline="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baseline="0">
              <a:solidFill>
                <a:schemeClr val="dk1"/>
              </a:solidFill>
              <a:effectLst/>
              <a:latin typeface="Times New Roman" panose="02020603050405020304" pitchFamily="18" charset="0"/>
              <a:ea typeface="+mn-ea"/>
              <a:cs typeface="Times New Roman" panose="02020603050405020304" pitchFamily="18" charset="0"/>
            </a:rPr>
            <a:t>2) </a:t>
          </a:r>
          <a:r>
            <a:rPr lang="ru-RU" sz="1100">
              <a:solidFill>
                <a:schemeClr val="dk1"/>
              </a:solidFill>
              <a:effectLst/>
              <a:latin typeface="Times New Roman" panose="02020603050405020304" pitchFamily="18" charset="0"/>
              <a:ea typeface="+mn-ea"/>
              <a:cs typeface="Times New Roman" panose="02020603050405020304" pitchFamily="18" charset="0"/>
            </a:rPr>
            <a:t>Бюджет заполняется с разбивкой по месяцам. Если</a:t>
          </a:r>
          <a:r>
            <a:rPr lang="ru-RU" sz="1100" baseline="0">
              <a:solidFill>
                <a:schemeClr val="dk1"/>
              </a:solidFill>
              <a:effectLst/>
              <a:latin typeface="Times New Roman" panose="02020603050405020304" pitchFamily="18" charset="0"/>
              <a:ea typeface="+mn-ea"/>
              <a:cs typeface="Times New Roman" panose="02020603050405020304" pitchFamily="18" charset="0"/>
            </a:rPr>
            <a:t> затруднительно спланировать затраты помесячно, то можно всю сумму затрат поставить в </a:t>
          </a:r>
          <a:r>
            <a:rPr lang="ru-RU" sz="1100" b="1" baseline="0">
              <a:solidFill>
                <a:schemeClr val="dk1"/>
              </a:solidFill>
              <a:effectLst/>
              <a:latin typeface="Times New Roman" panose="02020603050405020304" pitchFamily="18" charset="0"/>
              <a:ea typeface="+mn-ea"/>
              <a:cs typeface="Times New Roman" panose="02020603050405020304" pitchFamily="18" charset="0"/>
            </a:rPr>
            <a:t>январе</a:t>
          </a:r>
          <a:r>
            <a:rPr lang="ru-RU" sz="1100" b="0" baseline="0">
              <a:solidFill>
                <a:schemeClr val="dk1"/>
              </a:solidFill>
              <a:effectLst/>
              <a:latin typeface="Times New Roman" panose="02020603050405020304" pitchFamily="18" charset="0"/>
              <a:ea typeface="+mn-ea"/>
              <a:cs typeface="Times New Roman" panose="02020603050405020304" pitchFamily="18" charset="0"/>
            </a:rPr>
            <a:t> или в месяце, который наиболее приближен к вашим ожиданиям. </a:t>
          </a:r>
        </a:p>
        <a:p>
          <a:pPr lvl="0"/>
          <a:r>
            <a:rPr lang="ru-RU" sz="1100" baseline="0">
              <a:solidFill>
                <a:srgbClr val="FF0000"/>
              </a:solidFill>
              <a:effectLst/>
              <a:latin typeface="Times New Roman" panose="02020603050405020304" pitchFamily="18" charset="0"/>
              <a:ea typeface="+mn-ea"/>
              <a:cs typeface="Times New Roman" panose="02020603050405020304" pitchFamily="18" charset="0"/>
            </a:rPr>
            <a:t>Поступление денежных средств обязательно заполнять помесячно согласно условиям договора, и всегда брать наихудшие ожидания. </a:t>
          </a:r>
          <a:endParaRPr lang="ru-RU" sz="1100">
            <a:solidFill>
              <a:srgbClr val="FF0000"/>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3</a:t>
          </a:r>
          <a:r>
            <a:rPr lang="ru-RU" sz="1100">
              <a:solidFill>
                <a:schemeClr val="dk1"/>
              </a:solidFill>
              <a:effectLst/>
              <a:latin typeface="Times New Roman" panose="02020603050405020304" pitchFamily="18" charset="0"/>
              <a:ea typeface="+mn-ea"/>
              <a:cs typeface="Times New Roman" panose="02020603050405020304" pitchFamily="18" charset="0"/>
            </a:rPr>
            <a:t>) Бюджет заполняется кассовым методом. То есть выручка по проекту указывается в объеме фактического прихода денежных средств (ДС) в том месяце, когда Сколтех ожидает получение ДС согласно договору. Расходы также ставятся в месяце, когда планируется оплата услуг и товаров.</a:t>
          </a: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4) </a:t>
          </a:r>
          <a:r>
            <a:rPr lang="ru-RU" sz="1100" b="1">
              <a:solidFill>
                <a:schemeClr val="dk1"/>
              </a:solidFill>
              <a:effectLst/>
              <a:latin typeface="Times New Roman" panose="02020603050405020304" pitchFamily="18" charset="0"/>
              <a:ea typeface="+mn-ea"/>
              <a:cs typeface="Times New Roman" panose="02020603050405020304" pitchFamily="18" charset="0"/>
            </a:rPr>
            <a:t>Заполняются ячейки белого цвета</a:t>
          </a:r>
          <a:r>
            <a:rPr lang="ru-RU" sz="1100">
              <a:solidFill>
                <a:schemeClr val="dk1"/>
              </a:solidFill>
              <a:effectLst/>
              <a:latin typeface="Times New Roman" panose="02020603050405020304" pitchFamily="18" charset="0"/>
              <a:ea typeface="+mn-ea"/>
              <a:cs typeface="Times New Roman" panose="02020603050405020304" pitchFamily="18" charset="0"/>
            </a:rPr>
            <a:t>, ячейки выделенные серым являются формулами и заполнению не подлежат.</a:t>
          </a: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5) </a:t>
          </a:r>
          <a:r>
            <a:rPr lang="ru-RU" sz="1100">
              <a:solidFill>
                <a:schemeClr val="dk1"/>
              </a:solidFill>
              <a:effectLst/>
              <a:latin typeface="Times New Roman" panose="02020603050405020304" pitchFamily="18" charset="0"/>
              <a:ea typeface="+mn-ea"/>
              <a:cs typeface="Times New Roman" panose="02020603050405020304" pitchFamily="18" charset="0"/>
            </a:rPr>
            <a:t>Каждый лист обязательно начинайте заполнять с заголовка. Вся информация в заголовке необходима для заполнения. В</a:t>
          </a:r>
          <a:r>
            <a:rPr lang="ru-RU" sz="1100" baseline="0">
              <a:solidFill>
                <a:schemeClr val="dk1"/>
              </a:solidFill>
              <a:effectLst/>
              <a:latin typeface="Times New Roman" panose="02020603050405020304" pitchFamily="18" charset="0"/>
              <a:ea typeface="+mn-ea"/>
              <a:cs typeface="Times New Roman" panose="02020603050405020304" pitchFamily="18" charset="0"/>
            </a:rPr>
            <a:t> заголовке также находится некоторая самопроверка правильности заполнения (окошко правее). Прибыль/убыток должен быть равен нулю, если вы только не планируете заранее определенную норму прибыли. </a:t>
          </a:r>
          <a:endParaRPr lang="ru-RU"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6) </a:t>
          </a:r>
          <a:r>
            <a:rPr lang="ru-RU" sz="1100">
              <a:solidFill>
                <a:schemeClr val="dk1"/>
              </a:solidFill>
              <a:effectLst/>
              <a:latin typeface="Times New Roman" panose="02020603050405020304" pitchFamily="18" charset="0"/>
              <a:ea typeface="+mn-ea"/>
              <a:cs typeface="Times New Roman" panose="02020603050405020304" pitchFamily="18" charset="0"/>
            </a:rPr>
            <a:t>Данная форма бюджета является прототипом/копией бюджета в системе Когнос</a:t>
          </a:r>
          <a:r>
            <a:rPr lang="en-US" sz="1100" baseline="0">
              <a:solidFill>
                <a:schemeClr val="dk1"/>
              </a:solidFill>
              <a:effectLst/>
              <a:latin typeface="Times New Roman" panose="02020603050405020304" pitchFamily="18" charset="0"/>
              <a:ea typeface="+mn-ea"/>
              <a:cs typeface="Times New Roman" panose="02020603050405020304" pitchFamily="18" charset="0"/>
            </a:rPr>
            <a:t> </a:t>
          </a:r>
          <a:r>
            <a:rPr lang="ru-RU" sz="1100" baseline="0">
              <a:solidFill>
                <a:schemeClr val="dk1"/>
              </a:solidFill>
              <a:effectLst/>
              <a:latin typeface="Times New Roman" panose="02020603050405020304" pitchFamily="18" charset="0"/>
              <a:ea typeface="+mn-ea"/>
              <a:cs typeface="Times New Roman" panose="02020603050405020304" pitchFamily="18" charset="0"/>
            </a:rPr>
            <a:t>и счета соответсвуют счетам в Когносе</a:t>
          </a:r>
          <a:endParaRPr lang="ru-RU"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7) </a:t>
          </a:r>
          <a:r>
            <a:rPr lang="ru-RU" sz="1100">
              <a:solidFill>
                <a:schemeClr val="dk1"/>
              </a:solidFill>
              <a:effectLst/>
              <a:latin typeface="Times New Roman" panose="02020603050405020304" pitchFamily="18" charset="0"/>
              <a:ea typeface="+mn-ea"/>
              <a:cs typeface="Times New Roman" panose="02020603050405020304" pitchFamily="18" charset="0"/>
            </a:rPr>
            <a:t>В столбце «Рекомендации по заполнению» написаны подробные комментарии по заполнению или объясняется суть расходов. </a:t>
          </a: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8) </a:t>
          </a:r>
          <a:r>
            <a:rPr lang="ru-RU" sz="1100">
              <a:solidFill>
                <a:schemeClr val="dk1"/>
              </a:solidFill>
              <a:effectLst/>
              <a:latin typeface="Times New Roman" panose="02020603050405020304" pitchFamily="18" charset="0"/>
              <a:ea typeface="+mn-ea"/>
              <a:cs typeface="Times New Roman" panose="02020603050405020304" pitchFamily="18" charset="0"/>
            </a:rPr>
            <a:t>Существует 3 уровня детализации счетов. 1 уровень – самый верхний, и 3 – самый подробный. Лучше сначала начинать смотреть на бюджет на 1 уровне (верхний левый угол листа) для понимания на какие счет отнести расходы. </a:t>
          </a:r>
        </a:p>
        <a:p>
          <a:pPr marL="0" lvl="0" indent="0"/>
          <a:r>
            <a:rPr lang="ru-RU" sz="1100">
              <a:solidFill>
                <a:schemeClr val="dk1"/>
              </a:solidFill>
              <a:effectLst/>
              <a:latin typeface="+mn-lt"/>
              <a:ea typeface="+mn-ea"/>
              <a:cs typeface="+mn-cs"/>
            </a:rPr>
            <a:t> </a:t>
          </a:r>
          <a:endParaRPr lang="en-US" sz="1100">
            <a:solidFill>
              <a:schemeClr val="dk1"/>
            </a:solidFill>
            <a:effectLst/>
            <a:latin typeface="Times New Roman" panose="02020603050405020304" pitchFamily="18" charset="0"/>
            <a:ea typeface="+mn-ea"/>
            <a:cs typeface="Times New Roman" panose="02020603050405020304" pitchFamily="18" charset="0"/>
          </a:endParaRPr>
        </a:p>
        <a:p>
          <a:pPr marL="0" lvl="0" indent="0"/>
          <a:r>
            <a:rPr lang="en-US" sz="1100">
              <a:solidFill>
                <a:schemeClr val="dk1"/>
              </a:solidFill>
              <a:effectLst/>
              <a:latin typeface="Times New Roman" panose="02020603050405020304" pitchFamily="18" charset="0"/>
              <a:ea typeface="+mn-ea"/>
              <a:cs typeface="Times New Roman" panose="02020603050405020304" pitchFamily="18" charset="0"/>
            </a:rPr>
            <a:t>9) </a:t>
          </a:r>
          <a:r>
            <a:rPr lang="ru-RU" sz="1100">
              <a:solidFill>
                <a:schemeClr val="dk1"/>
              </a:solidFill>
              <a:effectLst/>
              <a:latin typeface="Times New Roman" panose="02020603050405020304" pitchFamily="18" charset="0"/>
              <a:ea typeface="+mn-ea"/>
              <a:cs typeface="Times New Roman" panose="02020603050405020304" pitchFamily="18" charset="0"/>
            </a:rPr>
            <a:t>Уровень детализации точно такой же как</a:t>
          </a:r>
          <a:r>
            <a:rPr lang="ru-RU" sz="1100" baseline="0">
              <a:solidFill>
                <a:schemeClr val="dk1"/>
              </a:solidFill>
              <a:effectLst/>
              <a:latin typeface="Times New Roman" panose="02020603050405020304" pitchFamily="18" charset="0"/>
              <a:ea typeface="+mn-ea"/>
              <a:cs typeface="Times New Roman" panose="02020603050405020304" pitchFamily="18" charset="0"/>
            </a:rPr>
            <a:t> и для бюджетного контроля в системе </a:t>
          </a:r>
          <a:r>
            <a:rPr lang="en-US" sz="1100" baseline="0">
              <a:solidFill>
                <a:schemeClr val="dk1"/>
              </a:solidFill>
              <a:effectLst/>
              <a:latin typeface="Times New Roman" panose="02020603050405020304" pitchFamily="18" charset="0"/>
              <a:ea typeface="+mn-ea"/>
              <a:cs typeface="Times New Roman" panose="02020603050405020304" pitchFamily="18" charset="0"/>
            </a:rPr>
            <a:t>ERP. </a:t>
          </a:r>
          <a:r>
            <a:rPr lang="ru-RU" sz="1100" baseline="0">
              <a:solidFill>
                <a:schemeClr val="dk1"/>
              </a:solidFill>
              <a:effectLst/>
              <a:latin typeface="Times New Roman" panose="02020603050405020304" pitchFamily="18" charset="0"/>
              <a:ea typeface="+mn-ea"/>
              <a:cs typeface="Times New Roman" panose="02020603050405020304" pitchFamily="18" charset="0"/>
            </a:rPr>
            <a:t>То есть бюджетный контроль в 2019 году будет проходить по тем же счетам, как и предложено в бюджетной форме. Например, контроль за расходами по строке "Мероприятия" или "Командирвоки" на этапе одобрения заявки на оплату будет проходить на самом верхнем уровне. Поэтому детальная разбивка строки "Мероприятия" не приводится в форме бюджета, как например строки кейтеринг, регистрационный взнос и тд. Однако на отдельном листе "</a:t>
          </a:r>
          <a:r>
            <a:rPr lang="en-US" sz="1100" baseline="0">
              <a:solidFill>
                <a:schemeClr val="dk1"/>
              </a:solidFill>
              <a:effectLst/>
              <a:latin typeface="Times New Roman" panose="02020603050405020304" pitchFamily="18" charset="0"/>
              <a:ea typeface="+mn-ea"/>
              <a:cs typeface="Times New Roman" panose="02020603050405020304" pitchFamily="18" charset="0"/>
            </a:rPr>
            <a:t>Events"</a:t>
          </a:r>
          <a:r>
            <a:rPr lang="ru-RU" sz="1100" baseline="0">
              <a:solidFill>
                <a:schemeClr val="dk1"/>
              </a:solidFill>
              <a:effectLst/>
              <a:latin typeface="Times New Roman" panose="02020603050405020304" pitchFamily="18" charset="0"/>
              <a:ea typeface="+mn-ea"/>
              <a:cs typeface="Times New Roman" panose="02020603050405020304" pitchFamily="18" charset="0"/>
            </a:rPr>
            <a:t> или "</a:t>
          </a:r>
          <a:r>
            <a:rPr lang="en-US" sz="1100" baseline="0">
              <a:solidFill>
                <a:schemeClr val="dk1"/>
              </a:solidFill>
              <a:effectLst/>
              <a:latin typeface="Times New Roman" panose="02020603050405020304" pitchFamily="18" charset="0"/>
              <a:ea typeface="+mn-ea"/>
              <a:cs typeface="Times New Roman" panose="02020603050405020304" pitchFamily="18" charset="0"/>
            </a:rPr>
            <a:t>Business Trips" </a:t>
          </a:r>
          <a:r>
            <a:rPr lang="ru-RU" sz="1100" baseline="0">
              <a:solidFill>
                <a:schemeClr val="dk1"/>
              </a:solidFill>
              <a:effectLst/>
              <a:latin typeface="Times New Roman" panose="02020603050405020304" pitchFamily="18" charset="0"/>
              <a:ea typeface="+mn-ea"/>
              <a:cs typeface="Times New Roman" panose="02020603050405020304" pitchFamily="18" charset="0"/>
            </a:rPr>
            <a:t>можно увидеть какие типы расходов включены в эту категорию. </a:t>
          </a:r>
          <a:endParaRPr lang="ru-RU" sz="1100">
            <a:solidFill>
              <a:schemeClr val="dk1"/>
            </a:solidFill>
            <a:effectLst/>
            <a:latin typeface="Times New Roman" panose="02020603050405020304" pitchFamily="18" charset="0"/>
            <a:ea typeface="+mn-ea"/>
            <a:cs typeface="Times New Roman" panose="02020603050405020304" pitchFamily="18" charset="0"/>
          </a:endParaRPr>
        </a:p>
        <a:p>
          <a:r>
            <a:rPr lang="ru-RU" sz="1100" baseline="0">
              <a:solidFill>
                <a:schemeClr val="dk1"/>
              </a:solidFill>
              <a:effectLst/>
              <a:latin typeface="Times New Roman" panose="02020603050405020304" pitchFamily="18" charset="0"/>
              <a:ea typeface="+mn-ea"/>
              <a:cs typeface="Times New Roman" panose="02020603050405020304" pitchFamily="18" charset="0"/>
            </a:rPr>
            <a:t>При этом бюджетный контроль по консультационным услугам детальный. То есть если не будет бюджета по строке "Юридические услуги", то </a:t>
          </a:r>
          <a:r>
            <a:rPr lang="en-US" sz="1100" baseline="0">
              <a:solidFill>
                <a:schemeClr val="dk1"/>
              </a:solidFill>
              <a:effectLst/>
              <a:latin typeface="Times New Roman" panose="02020603050405020304" pitchFamily="18" charset="0"/>
              <a:ea typeface="+mn-ea"/>
              <a:cs typeface="Times New Roman" panose="02020603050405020304" pitchFamily="18" charset="0"/>
            </a:rPr>
            <a:t>ERP </a:t>
          </a:r>
          <a:r>
            <a:rPr lang="ru-RU" sz="1100" baseline="0">
              <a:solidFill>
                <a:schemeClr val="dk1"/>
              </a:solidFill>
              <a:effectLst/>
              <a:latin typeface="Times New Roman" panose="02020603050405020304" pitchFamily="18" charset="0"/>
              <a:ea typeface="+mn-ea"/>
              <a:cs typeface="Times New Roman" panose="02020603050405020304" pitchFamily="18" charset="0"/>
            </a:rPr>
            <a:t>не пропустит заявку на оплату по данному счету. Поэтому планировать расходы нужно именно в этой детализации.</a:t>
          </a:r>
        </a:p>
      </xdr:txBody>
    </xdr:sp>
    <xdr:clientData/>
  </xdr:twoCellAnchor>
  <xdr:twoCellAnchor>
    <xdr:from>
      <xdr:col>7</xdr:col>
      <xdr:colOff>0</xdr:colOff>
      <xdr:row>1</xdr:row>
      <xdr:rowOff>0</xdr:rowOff>
    </xdr:from>
    <xdr:to>
      <xdr:col>14</xdr:col>
      <xdr:colOff>108697</xdr:colOff>
      <xdr:row>41</xdr:row>
      <xdr:rowOff>38101</xdr:rowOff>
    </xdr:to>
    <xdr:sp macro="" textlink="">
      <xdr:nvSpPr>
        <xdr:cNvPr id="6" name="TextBox 5">
          <a:extLst>
            <a:ext uri="{FF2B5EF4-FFF2-40B4-BE49-F238E27FC236}">
              <a16:creationId xmlns:a16="http://schemas.microsoft.com/office/drawing/2014/main" id="{A35A9674-2EC7-43C5-8F2F-99C8BBD65544}"/>
            </a:ext>
          </a:extLst>
        </xdr:cNvPr>
        <xdr:cNvSpPr txBox="1"/>
      </xdr:nvSpPr>
      <xdr:spPr>
        <a:xfrm>
          <a:off x="8897471" y="201706"/>
          <a:ext cx="7739902" cy="79158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atin typeface="Times New Roman" panose="02020603050405020304" pitchFamily="18" charset="0"/>
              <a:cs typeface="Times New Roman" panose="02020603050405020304" pitchFamily="18" charset="0"/>
            </a:rPr>
            <a:t>Recommendations</a:t>
          </a:r>
        </a:p>
        <a:p>
          <a:endParaRPr lang="en-US" sz="1400" b="1">
            <a:latin typeface="Times New Roman" panose="02020603050405020304" pitchFamily="18" charset="0"/>
            <a:cs typeface="Times New Roman" panose="02020603050405020304" pitchFamily="18"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Budget</a:t>
          </a:r>
          <a:r>
            <a:rPr lang="en-US" sz="1100" b="1" baseline="0">
              <a:solidFill>
                <a:schemeClr val="dk1"/>
              </a:solidFill>
              <a:effectLst/>
              <a:latin typeface="+mn-lt"/>
              <a:ea typeface="+mn-ea"/>
              <a:cs typeface="+mn-cs"/>
            </a:rPr>
            <a:t> is completed by the manager of the project and signed by the Principle Investigator (PI) of the project. If you have difficulty to complete the budget you can do it with the help of Financial Manager.</a:t>
          </a:r>
        </a:p>
        <a:p>
          <a:pPr marL="0" marR="0" indent="0" defTabSz="914400" eaLnBrk="1" fontAlgn="auto" latinLnBrk="0" hangingPunct="1">
            <a:lnSpc>
              <a:spcPct val="100000"/>
            </a:lnSpc>
            <a:spcBef>
              <a:spcPts val="0"/>
            </a:spcBef>
            <a:spcAft>
              <a:spcPts val="0"/>
            </a:spcAft>
            <a:buClrTx/>
            <a:buSzTx/>
            <a:buFontTx/>
            <a:buNone/>
            <a:tabLst/>
            <a:defRPr/>
          </a:pPr>
          <a:r>
            <a:rPr lang="ru-RU" sz="1100">
              <a:solidFill>
                <a:schemeClr val="dk1"/>
              </a:solidFill>
              <a:effectLst/>
              <a:latin typeface="Times New Roman" panose="02020603050405020304" pitchFamily="18" charset="0"/>
              <a:ea typeface="+mn-ea"/>
              <a:cs typeface="Times New Roman" panose="02020603050405020304" pitchFamily="18" charset="0"/>
            </a:rPr>
            <a:t> </a:t>
          </a:r>
        </a:p>
        <a:p>
          <a:pPr lvl="0"/>
          <a:r>
            <a:rPr lang="ru-RU" sz="1100">
              <a:solidFill>
                <a:schemeClr val="dk1"/>
              </a:solidFill>
              <a:effectLst/>
              <a:latin typeface="Times New Roman" panose="02020603050405020304" pitchFamily="18" charset="0"/>
              <a:ea typeface="+mn-ea"/>
              <a:cs typeface="Times New Roman" panose="02020603050405020304" pitchFamily="18" charset="0"/>
            </a:rPr>
            <a:t>1)</a:t>
          </a:r>
          <a:r>
            <a:rPr lang="ru-RU" sz="1100" baseline="0">
              <a:solidFill>
                <a:schemeClr val="dk1"/>
              </a:solidFill>
              <a:effectLst/>
              <a:latin typeface="Times New Roman" panose="02020603050405020304" pitchFamily="18" charset="0"/>
              <a:ea typeface="+mn-ea"/>
              <a:cs typeface="Times New Roman" panose="02020603050405020304" pitchFamily="18" charset="0"/>
            </a:rPr>
            <a:t> </a:t>
          </a:r>
          <a:r>
            <a:rPr lang="en-US" sz="1100">
              <a:solidFill>
                <a:schemeClr val="dk1"/>
              </a:solidFill>
              <a:effectLst/>
              <a:latin typeface="Times New Roman" panose="02020603050405020304" pitchFamily="18" charset="0"/>
              <a:ea typeface="+mn-ea"/>
              <a:cs typeface="Times New Roman" panose="02020603050405020304" pitchFamily="18" charset="0"/>
            </a:rPr>
            <a:t>Budget is completed separately</a:t>
          </a:r>
          <a:r>
            <a:rPr lang="en-US" sz="1100" baseline="0">
              <a:solidFill>
                <a:schemeClr val="dk1"/>
              </a:solidFill>
              <a:effectLst/>
              <a:latin typeface="Times New Roman" panose="02020603050405020304" pitchFamily="18" charset="0"/>
              <a:ea typeface="+mn-ea"/>
              <a:cs typeface="Times New Roman" panose="02020603050405020304" pitchFamily="18" charset="0"/>
            </a:rPr>
            <a:t> for</a:t>
          </a:r>
          <a:r>
            <a:rPr lang="ru-RU" sz="1100">
              <a:solidFill>
                <a:schemeClr val="dk1"/>
              </a:solidFill>
              <a:effectLst/>
              <a:latin typeface="Times New Roman" panose="02020603050405020304" pitchFamily="18" charset="0"/>
              <a:ea typeface="+mn-ea"/>
              <a:cs typeface="Times New Roman" panose="02020603050405020304" pitchFamily="18" charset="0"/>
            </a:rPr>
            <a:t>:</a:t>
          </a: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a:solidFill>
                <a:schemeClr val="dk1"/>
              </a:solidFill>
              <a:effectLst/>
              <a:latin typeface="Times New Roman" panose="02020603050405020304" pitchFamily="18" charset="0"/>
              <a:ea typeface="+mn-ea"/>
              <a:cs typeface="Times New Roman" panose="02020603050405020304" pitchFamily="18" charset="0"/>
            </a:rPr>
            <a:t>- </a:t>
          </a:r>
          <a:r>
            <a:rPr lang="en-US" sz="1100">
              <a:solidFill>
                <a:schemeClr val="dk1"/>
              </a:solidFill>
              <a:effectLst/>
              <a:latin typeface="Times New Roman" panose="02020603050405020304" pitchFamily="18" charset="0"/>
              <a:ea typeface="+mn-ea"/>
              <a:cs typeface="Times New Roman" panose="02020603050405020304" pitchFamily="18" charset="0"/>
            </a:rPr>
            <a:t>for every budget</a:t>
          </a:r>
          <a:r>
            <a:rPr lang="en-US" sz="1100" baseline="0">
              <a:solidFill>
                <a:schemeClr val="dk1"/>
              </a:solidFill>
              <a:effectLst/>
              <a:latin typeface="Times New Roman" panose="02020603050405020304" pitchFamily="18" charset="0"/>
              <a:ea typeface="+mn-ea"/>
              <a:cs typeface="Times New Roman" panose="02020603050405020304" pitchFamily="18" charset="0"/>
            </a:rPr>
            <a:t> Year</a:t>
          </a:r>
          <a:r>
            <a:rPr lang="ru-RU" sz="1100">
              <a:solidFill>
                <a:schemeClr val="dk1"/>
              </a:solidFill>
              <a:effectLst/>
              <a:latin typeface="Times New Roman" panose="02020603050405020304" pitchFamily="18" charset="0"/>
              <a:ea typeface="+mn-ea"/>
              <a:cs typeface="Times New Roman" panose="02020603050405020304" pitchFamily="18" charset="0"/>
            </a:rPr>
            <a:t>;</a:t>
          </a: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a:solidFill>
                <a:schemeClr val="dk1"/>
              </a:solidFill>
              <a:effectLst/>
              <a:latin typeface="Times New Roman" panose="02020603050405020304" pitchFamily="18" charset="0"/>
              <a:ea typeface="+mn-ea"/>
              <a:cs typeface="Times New Roman" panose="02020603050405020304" pitchFamily="18" charset="0"/>
            </a:rPr>
            <a:t>- </a:t>
          </a:r>
          <a:r>
            <a:rPr lang="en-US" sz="1100">
              <a:solidFill>
                <a:schemeClr val="dk1"/>
              </a:solidFill>
              <a:effectLst/>
              <a:latin typeface="Times New Roman" panose="02020603050405020304" pitchFamily="18" charset="0"/>
              <a:ea typeface="+mn-ea"/>
              <a:cs typeface="Times New Roman" panose="02020603050405020304" pitchFamily="18" charset="0"/>
            </a:rPr>
            <a:t>for every source of financing</a:t>
          </a:r>
          <a:r>
            <a:rPr lang="ru-RU" sz="1100">
              <a:solidFill>
                <a:schemeClr val="dk1"/>
              </a:solidFill>
              <a:effectLst/>
              <a:latin typeface="Times New Roman" panose="02020603050405020304" pitchFamily="18" charset="0"/>
              <a:ea typeface="+mn-ea"/>
              <a:cs typeface="Times New Roman" panose="02020603050405020304" pitchFamily="18" charset="0"/>
            </a:rPr>
            <a:t>.</a:t>
          </a:r>
        </a:p>
        <a:p>
          <a:pPr lvl="0"/>
          <a:endParaRPr lang="en-US" sz="1100" baseline="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baseline="0">
              <a:solidFill>
                <a:schemeClr val="dk1"/>
              </a:solidFill>
              <a:effectLst/>
              <a:latin typeface="Times New Roman" panose="02020603050405020304" pitchFamily="18" charset="0"/>
              <a:ea typeface="+mn-ea"/>
              <a:cs typeface="Times New Roman" panose="02020603050405020304" pitchFamily="18" charset="0"/>
            </a:rPr>
            <a:t>In order to complete the budget for a different source or budget period please copy a tab and rename it in the following order - Year_Source</a:t>
          </a:r>
          <a:endParaRPr lang="ru-RU" sz="1100" baseline="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baseline="0">
              <a:solidFill>
                <a:schemeClr val="dk1"/>
              </a:solidFill>
              <a:effectLst/>
              <a:latin typeface="Times New Roman" panose="02020603050405020304" pitchFamily="18" charset="0"/>
              <a:ea typeface="+mn-ea"/>
              <a:cs typeface="Times New Roman" panose="02020603050405020304" pitchFamily="18" charset="0"/>
            </a:rPr>
            <a:t> </a:t>
          </a:r>
          <a:endParaRPr lang="en-US" sz="1100" baseline="0">
            <a:solidFill>
              <a:schemeClr val="dk1"/>
            </a:solidFill>
            <a:effectLst/>
            <a:latin typeface="Times New Roman" panose="02020603050405020304" pitchFamily="18" charset="0"/>
            <a:ea typeface="+mn-ea"/>
            <a:cs typeface="Times New Roman" panose="02020603050405020304" pitchFamily="18" charset="0"/>
          </a:endParaRPr>
        </a:p>
        <a:p>
          <a:pPr lvl="0"/>
          <a:r>
            <a:rPr lang="ru-RU" sz="1100" baseline="0">
              <a:solidFill>
                <a:schemeClr val="dk1"/>
              </a:solidFill>
              <a:effectLst/>
              <a:latin typeface="Times New Roman" panose="02020603050405020304" pitchFamily="18" charset="0"/>
              <a:ea typeface="+mn-ea"/>
              <a:cs typeface="Times New Roman" panose="02020603050405020304" pitchFamily="18" charset="0"/>
            </a:rPr>
            <a:t>2) </a:t>
          </a:r>
          <a:r>
            <a:rPr lang="en-US" sz="1100" baseline="0">
              <a:solidFill>
                <a:schemeClr val="dk1"/>
              </a:solidFill>
              <a:effectLst/>
              <a:latin typeface="Times New Roman" panose="02020603050405020304" pitchFamily="18" charset="0"/>
              <a:ea typeface="+mn-ea"/>
              <a:cs typeface="Times New Roman" panose="02020603050405020304" pitchFamily="18" charset="0"/>
            </a:rPr>
            <a:t>Budget is completed on a monthly basis.</a:t>
          </a:r>
          <a:r>
            <a:rPr lang="ru-RU" sz="1100" baseline="0">
              <a:solidFill>
                <a:schemeClr val="dk1"/>
              </a:solidFill>
              <a:effectLst/>
              <a:latin typeface="Times New Roman" panose="02020603050405020304" pitchFamily="18" charset="0"/>
              <a:ea typeface="+mn-ea"/>
              <a:cs typeface="Times New Roman" panose="02020603050405020304" pitchFamily="18" charset="0"/>
            </a:rPr>
            <a:t> </a:t>
          </a:r>
          <a:r>
            <a:rPr lang="en-US" sz="1100" baseline="0">
              <a:solidFill>
                <a:schemeClr val="dk1"/>
              </a:solidFill>
              <a:effectLst/>
              <a:latin typeface="Times New Roman" panose="02020603050405020304" pitchFamily="18" charset="0"/>
              <a:ea typeface="+mn-ea"/>
              <a:cs typeface="Times New Roman" panose="02020603050405020304" pitchFamily="18" charset="0"/>
            </a:rPr>
            <a:t>If it is complicated to do a monthly budget for some of the expenses, then it is allowed to enter the total amount for the year in January or in the month, which is the nearest to your expectations. </a:t>
          </a:r>
        </a:p>
        <a:p>
          <a:pPr lvl="0"/>
          <a:r>
            <a:rPr lang="en-US" sz="1100" baseline="0">
              <a:solidFill>
                <a:schemeClr val="dk1"/>
              </a:solidFill>
              <a:effectLst/>
              <a:latin typeface="Times New Roman" panose="02020603050405020304" pitchFamily="18" charset="0"/>
              <a:ea typeface="+mn-ea"/>
              <a:cs typeface="Times New Roman" panose="02020603050405020304" pitchFamily="18" charset="0"/>
            </a:rPr>
            <a:t>It is essential to enter cash receipts from the Client on a monthly basis based on the terms of the agreement, and it is advisable to take the worst case scenario. </a:t>
          </a:r>
        </a:p>
        <a:p>
          <a:pPr lvl="0"/>
          <a:endParaRPr lang="en-US" sz="1100" baseline="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3</a:t>
          </a:r>
          <a:r>
            <a:rPr lang="ru-RU" sz="1100">
              <a:solidFill>
                <a:schemeClr val="dk1"/>
              </a:solidFill>
              <a:effectLst/>
              <a:latin typeface="Times New Roman" panose="02020603050405020304" pitchFamily="18" charset="0"/>
              <a:ea typeface="+mn-ea"/>
              <a:cs typeface="Times New Roman" panose="02020603050405020304" pitchFamily="18" charset="0"/>
            </a:rPr>
            <a:t>) </a:t>
          </a:r>
          <a:r>
            <a:rPr lang="en-US" sz="1100">
              <a:solidFill>
                <a:schemeClr val="dk1"/>
              </a:solidFill>
              <a:effectLst/>
              <a:latin typeface="Times New Roman" panose="02020603050405020304" pitchFamily="18" charset="0"/>
              <a:ea typeface="+mn-ea"/>
              <a:cs typeface="Times New Roman" panose="02020603050405020304" pitchFamily="18" charset="0"/>
            </a:rPr>
            <a:t>The Budget is completed using a cash method.</a:t>
          </a:r>
          <a:r>
            <a:rPr lang="en-US" sz="1100" baseline="0">
              <a:solidFill>
                <a:schemeClr val="dk1"/>
              </a:solidFill>
              <a:effectLst/>
              <a:latin typeface="Times New Roman" panose="02020603050405020304" pitchFamily="18" charset="0"/>
              <a:ea typeface="+mn-ea"/>
              <a:cs typeface="Times New Roman" panose="02020603050405020304" pitchFamily="18" charset="0"/>
            </a:rPr>
            <a:t> T</a:t>
          </a:r>
          <a:r>
            <a:rPr lang="en-US" sz="1100">
              <a:solidFill>
                <a:schemeClr val="dk1"/>
              </a:solidFill>
              <a:effectLst/>
              <a:latin typeface="Times New Roman" panose="02020603050405020304" pitchFamily="18" charset="0"/>
              <a:ea typeface="+mn-ea"/>
              <a:cs typeface="Times New Roman" panose="02020603050405020304" pitchFamily="18" charset="0"/>
            </a:rPr>
            <a:t>hus the revenue from</a:t>
          </a:r>
          <a:r>
            <a:rPr lang="en-US" sz="1100" baseline="0">
              <a:solidFill>
                <a:schemeClr val="dk1"/>
              </a:solidFill>
              <a:effectLst/>
              <a:latin typeface="Times New Roman" panose="02020603050405020304" pitchFamily="18" charset="0"/>
              <a:ea typeface="+mn-ea"/>
              <a:cs typeface="Times New Roman" panose="02020603050405020304" pitchFamily="18" charset="0"/>
            </a:rPr>
            <a:t> the project should be completed based on the </a:t>
          </a:r>
          <a:r>
            <a:rPr lang="en-US" sz="1100" b="1" baseline="0">
              <a:solidFill>
                <a:schemeClr val="dk1"/>
              </a:solidFill>
              <a:effectLst/>
              <a:latin typeface="Times New Roman" panose="02020603050405020304" pitchFamily="18" charset="0"/>
              <a:ea typeface="+mn-ea"/>
              <a:cs typeface="Times New Roman" panose="02020603050405020304" pitchFamily="18" charset="0"/>
            </a:rPr>
            <a:t>planned cash receipts and based on the cash expenditures</a:t>
          </a:r>
          <a:endParaRPr lang="en-US" sz="1100" b="1">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4) Please </a:t>
          </a:r>
          <a:r>
            <a:rPr lang="en-US" sz="1100" b="1">
              <a:solidFill>
                <a:schemeClr val="dk1"/>
              </a:solidFill>
              <a:effectLst/>
              <a:latin typeface="Times New Roman" panose="02020603050405020304" pitchFamily="18" charset="0"/>
              <a:ea typeface="+mn-ea"/>
              <a:cs typeface="Times New Roman" panose="02020603050405020304" pitchFamily="18" charset="0"/>
            </a:rPr>
            <a:t>input information into white cells only</a:t>
          </a:r>
          <a:r>
            <a:rPr lang="en-US" sz="1100" baseline="0">
              <a:solidFill>
                <a:schemeClr val="dk1"/>
              </a:solidFill>
              <a:effectLst/>
              <a:latin typeface="Times New Roman" panose="02020603050405020304" pitchFamily="18" charset="0"/>
              <a:ea typeface="+mn-ea"/>
              <a:cs typeface="Times New Roman" panose="02020603050405020304" pitchFamily="18" charset="0"/>
            </a:rPr>
            <a:t>, grey cells contain formulas and are not required to be completed. </a:t>
          </a:r>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5) Please</a:t>
          </a:r>
          <a:r>
            <a:rPr lang="en-US" sz="1100" baseline="0">
              <a:solidFill>
                <a:schemeClr val="dk1"/>
              </a:solidFill>
              <a:effectLst/>
              <a:latin typeface="Times New Roman" panose="02020603050405020304" pitchFamily="18" charset="0"/>
              <a:ea typeface="+mn-ea"/>
              <a:cs typeface="Times New Roman" panose="02020603050405020304" pitchFamily="18" charset="0"/>
            </a:rPr>
            <a:t> enter details into the header first as this information is important for us. The Header also contains a self-check for correctness of details entered. Net income/loss from the project should equal zero, but not in case if you plan an income at the very beginning. </a:t>
          </a:r>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endParaRPr lang="ru-RU"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6) This form is a copy of Cognos budget from</a:t>
          </a:r>
          <a:r>
            <a:rPr lang="ru-RU" sz="1100" baseline="0">
              <a:solidFill>
                <a:schemeClr val="dk1"/>
              </a:solidFill>
              <a:effectLst/>
              <a:latin typeface="Times New Roman" panose="02020603050405020304" pitchFamily="18" charset="0"/>
              <a:ea typeface="+mn-ea"/>
              <a:cs typeface="Times New Roman" panose="02020603050405020304" pitchFamily="18" charset="0"/>
            </a:rPr>
            <a:t> </a:t>
          </a:r>
          <a:r>
            <a:rPr lang="en-US" sz="1100" baseline="0">
              <a:solidFill>
                <a:schemeClr val="dk1"/>
              </a:solidFill>
              <a:effectLst/>
              <a:latin typeface="Times New Roman" panose="02020603050405020304" pitchFamily="18" charset="0"/>
              <a:ea typeface="+mn-ea"/>
              <a:cs typeface="Times New Roman" panose="02020603050405020304" pitchFamily="18" charset="0"/>
            </a:rPr>
            <a:t>and accounts are the same as in Cognos. </a:t>
          </a:r>
          <a:endParaRPr lang="ru-RU"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7) Column "Recommendations"</a:t>
          </a:r>
          <a:r>
            <a:rPr lang="en-US" sz="1100" baseline="0">
              <a:solidFill>
                <a:schemeClr val="dk1"/>
              </a:solidFill>
              <a:effectLst/>
              <a:latin typeface="Times New Roman" panose="02020603050405020304" pitchFamily="18" charset="0"/>
              <a:ea typeface="+mn-ea"/>
              <a:cs typeface="Times New Roman" panose="02020603050405020304" pitchFamily="18" charset="0"/>
            </a:rPr>
            <a:t> contains a detail description or a link</a:t>
          </a:r>
          <a:r>
            <a:rPr lang="ru-RU" sz="1100" baseline="0">
              <a:solidFill>
                <a:schemeClr val="dk1"/>
              </a:solidFill>
              <a:effectLst/>
              <a:latin typeface="Times New Roman" panose="02020603050405020304" pitchFamily="18" charset="0"/>
              <a:ea typeface="+mn-ea"/>
              <a:cs typeface="Times New Roman" panose="02020603050405020304" pitchFamily="18" charset="0"/>
            </a:rPr>
            <a:t> </a:t>
          </a:r>
          <a:r>
            <a:rPr lang="en-US" sz="1100" baseline="0">
              <a:solidFill>
                <a:schemeClr val="dk1"/>
              </a:solidFill>
              <a:effectLst/>
              <a:latin typeface="Times New Roman" panose="02020603050405020304" pitchFamily="18" charset="0"/>
              <a:ea typeface="+mn-ea"/>
              <a:cs typeface="Times New Roman" panose="02020603050405020304" pitchFamily="18" charset="0"/>
            </a:rPr>
            <a:t>to a separate tab with some prompts</a:t>
          </a:r>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lvl="0"/>
          <a:r>
            <a:rPr lang="en-US" sz="1100">
              <a:solidFill>
                <a:schemeClr val="dk1"/>
              </a:solidFill>
              <a:effectLst/>
              <a:latin typeface="Times New Roman" panose="02020603050405020304" pitchFamily="18" charset="0"/>
              <a:ea typeface="+mn-ea"/>
              <a:cs typeface="Times New Roman" panose="02020603050405020304" pitchFamily="18" charset="0"/>
            </a:rPr>
            <a:t>8) There are three levels</a:t>
          </a:r>
          <a:r>
            <a:rPr lang="en-US" sz="1100" baseline="0">
              <a:solidFill>
                <a:schemeClr val="dk1"/>
              </a:solidFill>
              <a:effectLst/>
              <a:latin typeface="Times New Roman" panose="02020603050405020304" pitchFamily="18" charset="0"/>
              <a:ea typeface="+mn-ea"/>
              <a:cs typeface="Times New Roman" panose="02020603050405020304" pitchFamily="18" charset="0"/>
            </a:rPr>
            <a:t> of </a:t>
          </a:r>
          <a:r>
            <a:rPr lang="ru-RU" sz="1100" baseline="0">
              <a:solidFill>
                <a:schemeClr val="dk1"/>
              </a:solidFill>
              <a:effectLst/>
              <a:latin typeface="Times New Roman" panose="02020603050405020304" pitchFamily="18" charset="0"/>
              <a:ea typeface="+mn-ea"/>
              <a:cs typeface="Times New Roman" panose="02020603050405020304" pitchFamily="18" charset="0"/>
            </a:rPr>
            <a:t> </a:t>
          </a:r>
          <a:r>
            <a:rPr lang="en-US" sz="1100" baseline="0">
              <a:solidFill>
                <a:schemeClr val="dk1"/>
              </a:solidFill>
              <a:effectLst/>
              <a:latin typeface="Times New Roman" panose="02020603050405020304" pitchFamily="18" charset="0"/>
              <a:ea typeface="+mn-ea"/>
              <a:cs typeface="Times New Roman" panose="02020603050405020304" pitchFamily="18" charset="0"/>
            </a:rPr>
            <a:t>account detalization. Level 1 - is the highest level, Level 3- is the most detailed. It is better to start a review the budget on the highest level and then drill down into details. Top left corner have 3 buttons of detalisation. </a:t>
          </a:r>
          <a:r>
            <a:rPr lang="ru-RU" sz="1100">
              <a:solidFill>
                <a:schemeClr val="dk1"/>
              </a:solidFill>
              <a:effectLst/>
              <a:latin typeface="Times New Roman" panose="02020603050405020304" pitchFamily="18" charset="0"/>
              <a:ea typeface="+mn-ea"/>
              <a:cs typeface="Times New Roman" panose="02020603050405020304" pitchFamily="18" charset="0"/>
            </a:rPr>
            <a:t> </a:t>
          </a:r>
        </a:p>
        <a:p>
          <a:pPr marL="0" lvl="0" indent="0"/>
          <a:endParaRPr lang="en-US" sz="1100">
            <a:solidFill>
              <a:schemeClr val="dk1"/>
            </a:solidFill>
            <a:effectLst/>
            <a:latin typeface="Times New Roman" panose="02020603050405020304" pitchFamily="18" charset="0"/>
            <a:ea typeface="+mn-ea"/>
            <a:cs typeface="Times New Roman" panose="02020603050405020304" pitchFamily="18" charset="0"/>
          </a:endParaRPr>
        </a:p>
        <a:p>
          <a:pPr marL="0" lvl="0" indent="0"/>
          <a:r>
            <a:rPr lang="en-US" sz="1100">
              <a:solidFill>
                <a:schemeClr val="dk1"/>
              </a:solidFill>
              <a:effectLst/>
              <a:latin typeface="Times New Roman" panose="02020603050405020304" pitchFamily="18" charset="0"/>
              <a:ea typeface="+mn-ea"/>
              <a:cs typeface="Times New Roman" panose="02020603050405020304" pitchFamily="18" charset="0"/>
            </a:rPr>
            <a:t>9</a:t>
          </a:r>
          <a:r>
            <a:rPr lang="ru-RU" sz="1100">
              <a:solidFill>
                <a:schemeClr val="dk1"/>
              </a:solidFill>
              <a:effectLst/>
              <a:latin typeface="Times New Roman" panose="02020603050405020304" pitchFamily="18" charset="0"/>
              <a:ea typeface="+mn-ea"/>
              <a:cs typeface="Times New Roman" panose="02020603050405020304" pitchFamily="18" charset="0"/>
            </a:rPr>
            <a:t>) </a:t>
          </a:r>
          <a:r>
            <a:rPr lang="en-US" sz="1100">
              <a:solidFill>
                <a:schemeClr val="dk1"/>
              </a:solidFill>
              <a:effectLst/>
              <a:latin typeface="Times New Roman" panose="02020603050405020304" pitchFamily="18" charset="0"/>
              <a:ea typeface="+mn-ea"/>
              <a:cs typeface="Times New Roman" panose="02020603050405020304" pitchFamily="18" charset="0"/>
            </a:rPr>
            <a:t>Budget detalisation is comparable with ERP </a:t>
          </a:r>
          <a:r>
            <a:rPr lang="en-US" sz="1100" baseline="0">
              <a:solidFill>
                <a:schemeClr val="dk1"/>
              </a:solidFill>
              <a:effectLst/>
              <a:latin typeface="Times New Roman" panose="02020603050405020304" pitchFamily="18" charset="0"/>
              <a:ea typeface="+mn-ea"/>
              <a:cs typeface="Times New Roman" panose="02020603050405020304" pitchFamily="18" charset="0"/>
            </a:rPr>
            <a:t>budget control detalisation. Thus, the budget control 2019 will be done for the same accounts as presented in the budget form. For example, a budget control for accounts "Events" and "Business trips" will be done on a total level. It means that budget holders don't need to do a detailed planning for these accounts, for example, for such accounts as "Registration fees" or catering. However, you can see a detailed breakdown in a separate tabs "Events" and "Business Trips". </a:t>
          </a:r>
        </a:p>
        <a:p>
          <a:pPr marL="0" lvl="0" indent="0"/>
          <a:endParaRPr lang="en-US" sz="1100" baseline="0">
            <a:solidFill>
              <a:schemeClr val="dk1"/>
            </a:solidFill>
            <a:effectLst/>
            <a:latin typeface="Times New Roman" panose="02020603050405020304" pitchFamily="18" charset="0"/>
            <a:ea typeface="+mn-ea"/>
            <a:cs typeface="Times New Roman" panose="02020603050405020304" pitchFamily="18" charset="0"/>
          </a:endParaRPr>
        </a:p>
        <a:p>
          <a:pPr marL="0" lvl="0" indent="0"/>
          <a:r>
            <a:rPr lang="en-US" sz="1100">
              <a:solidFill>
                <a:schemeClr val="dk1"/>
              </a:solidFill>
              <a:effectLst/>
              <a:latin typeface="Times New Roman" panose="02020603050405020304" pitchFamily="18" charset="0"/>
              <a:ea typeface="+mn-ea"/>
              <a:cs typeface="Times New Roman" panose="02020603050405020304" pitchFamily="18" charset="0"/>
            </a:rPr>
            <a:t>At the same time please</a:t>
          </a:r>
          <a:r>
            <a:rPr lang="en-US" sz="1100" baseline="0">
              <a:solidFill>
                <a:schemeClr val="dk1"/>
              </a:solidFill>
              <a:effectLst/>
              <a:latin typeface="Times New Roman" panose="02020603050405020304" pitchFamily="18" charset="0"/>
              <a:ea typeface="+mn-ea"/>
              <a:cs typeface="Times New Roman" panose="02020603050405020304" pitchFamily="18" charset="0"/>
            </a:rPr>
            <a:t> notice that for consulting expenses the budget control is more detailed. If there is no budget in the account line "Legal expenses-other", for example, ERP control will not allow to create a purchase/payment request. Thus, it is important to budget expenses in this detalisation. </a:t>
          </a:r>
          <a:endParaRPr lang="ru-RU" sz="1100">
            <a:solidFill>
              <a:schemeClr val="dk1"/>
            </a:solidFill>
            <a:effectLst/>
            <a:latin typeface="Times New Roman" panose="02020603050405020304" pitchFamily="18" charset="0"/>
            <a:ea typeface="+mn-ea"/>
            <a:cs typeface="Times New Roman" panose="02020603050405020304" pitchFamily="18" charset="0"/>
          </a:endParaRPr>
        </a:p>
        <a:p>
          <a:endParaRPr lang="ru-RU" sz="1100"/>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Sword%20financing%20model_210604_v.4.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rv-fs-01.skoltech.ru\Skoltech\President&#8217;s%20administration\7.%20Methodological%20materials\SK%20foundation\&#1057;&#1087;&#1088;&#1072;&#1074;&#1086;&#1095;&#1085;&#1080;&#1082;&#1080;%202014%20v9.xlsx"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1050;&#1085;&#1080;&#1075;&#1072;1"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Budget%202012%20Methodology/&#1057;&#1087;&#1088;&#1072;&#1074;&#1086;&#1095;&#1085;&#1080;&#1082;&#1080;/&#1064;&#1077;&#1077;&#1085;&#1082;&#1086;_&#1094;&#1077;&#1083;&#1080;-&#1087;&#1088;&#1086;&#1077;&#1082;&#1090;&#1099;_&#1089;&#1074;&#1086;&#1076;_!&#1095;&#1077;&#1088;&#1085;&#1086;&#1074;&#1080;&#1082;,%20&#1080;&#1089;&#1087;&#1086;&#1083;&#1100;&#1079;&#1086;&#1074;&#1072;&#1090;&#1100;%20&#1072;&#1082;&#1082;&#1091;&#1088;&#1072;&#1090;&#1085;&#108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nagement case"/>
      <sheetName val="Bid case"/>
      <sheetName val="Aggressive"/>
      <sheetName val="Pessimistic"/>
      <sheetName val="White label"/>
      <sheetName val="Phantom"/>
      <sheetName val="3G"/>
      <sheetName val="Numbers from DCI"/>
      <sheetName val="Cover"/>
      <sheetName val="A"/>
      <sheetName val="Data"/>
      <sheetName val="B"/>
      <sheetName val="Financial model"/>
      <sheetName val="D"/>
      <sheetName val="Valuation model"/>
      <sheetName val="Pro Forma Financial Summary"/>
      <sheetName val="CREI mapping report "/>
      <sheetName val="Списки выбора"/>
      <sheetName val="Типология"/>
      <sheetName val="Справочники"/>
      <sheetName val="Статьи"/>
      <sheetName val="Лист1"/>
      <sheetName val="Способ закупки"/>
      <sheetName val="Тип договора"/>
      <sheetName val="менеджеры ДЗ"/>
      <sheetName val="Комиссия"/>
      <sheetName val="Статус закупки"/>
      <sheetName val="Категория закупки"/>
      <sheetName val="Свод_Куб"/>
      <sheetName val="Справочник NEW"/>
      <sheetName val="ЦЗ"/>
      <sheetName val="способ процедуры закупки"/>
      <sheetName val="тип документа"/>
      <sheetName val="источник финансирования"/>
      <sheetName val="бюджетный проект"/>
      <sheetName val="бюджетная статья"/>
      <sheetName val="валюта"/>
      <sheetName val="перечень прилагаемых документов"/>
      <sheetName val="категории закупок"/>
      <sheetName val="услуги"/>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4"/>
      <sheetName val="Справочник Проектов (Project)"/>
      <sheetName val="Справочник целей"/>
      <sheetName val="Pivot Цели- Prog"/>
      <sheetName val="Pivot цели-прогр new"/>
      <sheetName val="Pivot мероприятие"/>
      <sheetName val="Exec Progr"/>
      <sheetName val="Pivot projects - замечания"/>
      <sheetName val="Pivot projects"/>
      <sheetName val="pivot projects new"/>
      <sheetName val="Проекты"/>
      <sheetName val="Pivot cost centers"/>
      <sheetName val="Справочник ЦБО (BRC) 2014"/>
      <sheetName val="Группы Программ Руководства (Ex"/>
      <sheetName val="Справочник ЦПР (TDP)"/>
      <sheetName val="Направление ЦПР (TDPSegment)"/>
      <sheetName val="Справочник БС (BudgetItem)"/>
      <sheetName val="Маски"/>
      <sheetName val="Источники Финансирования (Fundi"/>
    </sheetNames>
    <sheetDataSet>
      <sheetData sheetId="0">
        <row r="2">
          <cell r="O2" t="str">
            <v>180200 {Авансы выданные по поручениям Фонд-ОДАС}</v>
          </cell>
        </row>
        <row r="3">
          <cell r="O3" t="str">
            <v>180400 {Авансы выданные по поручениям Фонд-ОДПС}</v>
          </cell>
        </row>
        <row r="4">
          <cell r="O4" t="str">
            <v>180300 {Авансы выданные по поручениям Фонд-Технопарк}</v>
          </cell>
        </row>
        <row r="5">
          <cell r="O5" t="str">
            <v>180500 {Авансы выданные по поручениям Фонд-ТФК}</v>
          </cell>
        </row>
        <row r="6">
          <cell r="O6" t="str">
            <v>180600 {Авансы выданные по поручениям Фонд-ЦИС}</v>
          </cell>
        </row>
        <row r="7">
          <cell r="O7" t="str">
            <v>280200 {Авансы полученные по поручениям Фонд-ОДАС}</v>
          </cell>
        </row>
        <row r="8">
          <cell r="O8" t="str">
            <v>280400 {Авансы полученные по поручениям Фонд-ОДПС}</v>
          </cell>
        </row>
        <row r="9">
          <cell r="O9" t="str">
            <v>280300 {Авансы полученные по поручениям Фонд-Технопарк}</v>
          </cell>
        </row>
        <row r="10">
          <cell r="O10" t="str">
            <v>280500 {Авансы полученные по поручениям Фонд-ТФК}</v>
          </cell>
        </row>
        <row r="11">
          <cell r="O11" t="str">
            <v>280600 {Авансы полученные по поручениям Фонд-ЦИС}</v>
          </cell>
        </row>
        <row r="12">
          <cell r="O12" t="str">
            <v>290100 {Банковские кредиты}</v>
          </cell>
        </row>
        <row r="13">
          <cell r="O13" t="str">
            <v>190200 {Вклад в имущество ОДАС}</v>
          </cell>
        </row>
        <row r="14">
          <cell r="O14" t="str">
            <v>190400 {Вклад в имущество ОДПС}</v>
          </cell>
        </row>
        <row r="15">
          <cell r="O15" t="str">
            <v>190300 {Вклад в имущество Технопарка}</v>
          </cell>
        </row>
        <row r="16">
          <cell r="O16" t="str">
            <v>190500 {Вклад в имущество ТФК}</v>
          </cell>
        </row>
        <row r="17">
          <cell r="O17" t="str">
            <v>190600 {Вклад в имущество ЦИС}</v>
          </cell>
        </row>
        <row r="18">
          <cell r="O18" t="str">
            <v>730000 {Внереализационные доходы и расходы}</v>
          </cell>
        </row>
        <row r="19">
          <cell r="O19" t="str">
            <v>250200 {Депозиты от принципалов}</v>
          </cell>
        </row>
        <row r="20">
          <cell r="O20" t="str">
            <v>250100 {Депозиты от участников тендера}</v>
          </cell>
        </row>
        <row r="21">
          <cell r="O21" t="str">
            <v>410000 {Доходы от предоставляемых  услуг}</v>
          </cell>
        </row>
        <row r="22">
          <cell r="O22" t="str">
            <v>420000 {Доходы от сдачи в аренду объектов недвижимости}</v>
          </cell>
        </row>
        <row r="23">
          <cell r="O23" t="str">
            <v>710000 {Доходы от финансовой деятельности}</v>
          </cell>
        </row>
        <row r="24">
          <cell r="O24" t="str">
            <v>621100 {Затраты на обслуживание участников}</v>
          </cell>
        </row>
        <row r="25">
          <cell r="O25" t="str">
            <v>630300 {Затраты на офис и проч. Хоз. Расходы}</v>
          </cell>
        </row>
        <row r="26">
          <cell r="O26" t="str">
            <v>630900 {Затраты на офис и проч. Хоз. Расходы I/C}</v>
          </cell>
        </row>
        <row r="27">
          <cell r="O27" t="str">
            <v>610000 {Затраты на персонал}</v>
          </cell>
        </row>
        <row r="28">
          <cell r="O28" t="str">
            <v>121100 {Затраты на предпроектную и концептуальную подготовку}</v>
          </cell>
        </row>
        <row r="29">
          <cell r="O29" t="str">
            <v>620900 {Затраты на развитие I/C}</v>
          </cell>
        </row>
        <row r="30">
          <cell r="O30" t="str">
            <v>620400 {Затраты на развитие исследовательской деятельности}</v>
          </cell>
        </row>
        <row r="31">
          <cell r="O31" t="str">
            <v>520100 {Затраты на содержание объектов недвижимости}</v>
          </cell>
        </row>
        <row r="32">
          <cell r="O32" t="str">
            <v>121300 {Затраты на строительство}</v>
          </cell>
        </row>
        <row r="33">
          <cell r="O33" t="str">
            <v>620300 {Затраты на Участников}</v>
          </cell>
        </row>
        <row r="34">
          <cell r="O34" t="str">
            <v>690000 {Износ и амортизация}</v>
          </cell>
        </row>
        <row r="35">
          <cell r="O35" t="str">
            <v>630200 {Командировочные и представительские расходы}</v>
          </cell>
        </row>
        <row r="36">
          <cell r="O36" t="str">
            <v>622100 {Консультации MIT}</v>
          </cell>
        </row>
        <row r="37">
          <cell r="O37" t="str">
            <v>620200 {Консультационные расходы для целей развития}</v>
          </cell>
        </row>
        <row r="38">
          <cell r="O38" t="str">
            <v>620100 {Конференции}</v>
          </cell>
        </row>
        <row r="39">
          <cell r="O39" t="str">
            <v>630500 {Налоги и сборы}</v>
          </cell>
        </row>
        <row r="40">
          <cell r="O40" t="str">
            <v>120100 {НДС по объектам капитального строительства}</v>
          </cell>
        </row>
        <row r="41">
          <cell r="O41" t="str">
            <v>122000 {Нематериальные активы и ПО}</v>
          </cell>
        </row>
        <row r="42">
          <cell r="O42" t="str">
            <v>121400 {Оборудование и оснащение}</v>
          </cell>
        </row>
        <row r="43">
          <cell r="O43" t="str">
            <v>111000 {Остатки денежных средств (Cash)}</v>
          </cell>
        </row>
        <row r="44">
          <cell r="O44" t="str">
            <v>121200 {Проектирование объектов недвижимости}</v>
          </cell>
        </row>
        <row r="45">
          <cell r="O45" t="str">
            <v>630100 {Профессиональные услуги для текущей деятельности}</v>
          </cell>
        </row>
        <row r="46">
          <cell r="O46" t="str">
            <v>623900 {Прочие затраты на Участников}</v>
          </cell>
        </row>
        <row r="47">
          <cell r="O47" t="str">
            <v>720000 {Расходы на финансовую деятельность}</v>
          </cell>
        </row>
        <row r="48">
          <cell r="O48" t="str">
            <v>511100 {Себестоимость предоставляемых услуг}</v>
          </cell>
        </row>
        <row r="49">
          <cell r="O49" t="str">
            <v>300000 {Собственный капитал и резервы}</v>
          </cell>
        </row>
        <row r="50">
          <cell r="O50" t="str">
            <v>930000 {Сторонее софинансирование}</v>
          </cell>
        </row>
        <row r="51">
          <cell r="O51" t="str">
            <v>630400 {Страхование имущества и ответственности}</v>
          </cell>
        </row>
        <row r="52">
          <cell r="O52" t="str">
            <v>810000 {Технические бюджетные статьи}</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Лист4"/>
      <sheetName val="Источники Финансирования (Fundi"/>
      <sheetName val="Справочник БС (BudgetItem)"/>
      <sheetName val="Лист3"/>
      <sheetName val="Лист1"/>
    </sheetNames>
    <sheetDataSet>
      <sheetData sheetId="0">
        <row r="2">
          <cell r="B2" t="str">
            <v>111 {111_Субсидия МинФин 2010 (1)}</v>
          </cell>
          <cell r="C2" t="str">
            <v>1 {Да}</v>
          </cell>
        </row>
        <row r="3">
          <cell r="B3" t="str">
            <v>112 {112_Субсидия МинФин 2010 (2)}</v>
          </cell>
          <cell r="C3" t="str">
            <v>0 {Нет}</v>
          </cell>
        </row>
        <row r="4">
          <cell r="B4" t="str">
            <v>113 {113_Субсидия МинФин 2011-2014}</v>
          </cell>
        </row>
        <row r="5">
          <cell r="B5" t="str">
            <v>120 {120_Субсидия ФТС}</v>
          </cell>
        </row>
        <row r="6">
          <cell r="B6" t="str">
            <v>210 {210_Собственные доходы и расходы}</v>
          </cell>
        </row>
        <row r="7">
          <cell r="B7" t="str">
            <v>220 {220_Получено от 3х лиц}</v>
          </cell>
        </row>
        <row r="8">
          <cell r="B8" t="str">
            <v>290 {290_Вклад учредителей (УК)}</v>
          </cell>
        </row>
        <row r="9">
          <cell r="B9" t="str">
            <v>310 {310_ДС кредиты}</v>
          </cell>
        </row>
        <row r="10">
          <cell r="B10" t="str">
            <v>410 {410_Расчеты по депозитам}</v>
          </cell>
        </row>
        <row r="11">
          <cell r="B11" t="str">
            <v>710 {710_Расчеты агента с принципалом}</v>
          </cell>
        </row>
        <row r="12">
          <cell r="B12" t="str">
            <v>880 {880_Техническая программа}</v>
          </cell>
        </row>
        <row r="13">
          <cell r="B13" t="str">
            <v>990 {990_Сторон финансирование 3х лиц}</v>
          </cell>
        </row>
      </sheetData>
      <sheetData sheetId="1" refreshError="1"/>
      <sheetData sheetId="2" refreshError="1"/>
      <sheetData sheetId="3" refreshError="1"/>
      <sheetData sheetId="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ПИСОК"/>
      <sheetName val="1_Среда_и_Образ"/>
      <sheetName val="2_Участники"/>
      <sheetName val="3_ТП"/>
      <sheetName val="4_НИОКР"/>
      <sheetName val="5_СоцГор"/>
      <sheetName val="6_Город"/>
      <sheetName val="7_GRPRMkt"/>
      <sheetName val="8_Управление_Накладные"/>
      <sheetName val="Сводка"/>
      <sheetName val="PIVOT"/>
      <sheetName val="raw_pivot_NEW"/>
    </sheetNames>
    <sheetDataSet>
      <sheetData sheetId="0">
        <row r="2">
          <cell r="B2" t="str">
            <v>311010100_Курсы, лекции и др. форматы ОТУС</v>
          </cell>
          <cell r="C2" t="str">
            <v>311010000_Открытый Университет</v>
          </cell>
        </row>
        <row r="3">
          <cell r="B3" t="str">
            <v>311010200_E-learning</v>
          </cell>
          <cell r="C3" t="str">
            <v>311010000_Открытый Университет</v>
          </cell>
        </row>
        <row r="4">
          <cell r="B4" t="str">
            <v>311010300_Развитие ОТУС в регионах</v>
          </cell>
          <cell r="C4" t="str">
            <v>311010000_Открытый Университет</v>
          </cell>
        </row>
        <row r="5">
          <cell r="B5" t="str">
            <v>311010400_Взаим-е по научно-просветит. Тематике</v>
          </cell>
          <cell r="C5" t="str">
            <v>311010000_Открытый Университет</v>
          </cell>
        </row>
        <row r="6">
          <cell r="B6" t="str">
            <v>311090000_Процессы ОТУС</v>
          </cell>
          <cell r="C6" t="str">
            <v>311010000_Открытый Университет</v>
          </cell>
        </row>
        <row r="7">
          <cell r="B7" t="str">
            <v>312010100_Школа "Сколково"</v>
          </cell>
          <cell r="C7" t="str">
            <v>312010000_Сколковская школа</v>
          </cell>
        </row>
        <row r="8">
          <cell r="B8" t="str">
            <v>312010200_Ассоциация школ "Сколково"</v>
          </cell>
          <cell r="C8" t="str">
            <v>312010000_Сколковская школа</v>
          </cell>
        </row>
        <row r="9">
          <cell r="B9" t="str">
            <v>312090000_Процессы образовательной среды</v>
          </cell>
          <cell r="C9" t="str">
            <v>312010000_Сколковская школа</v>
          </cell>
        </row>
        <row r="10">
          <cell r="B10" t="str">
            <v>390019900_Проект СИНТ</v>
          </cell>
          <cell r="C10" t="str">
            <v>390010000_Проект по созданию СИНТ</v>
          </cell>
        </row>
        <row r="11">
          <cell r="B11" t="str">
            <v>390029900_Гранты MIT</v>
          </cell>
          <cell r="C11" t="str">
            <v>390020000_Гранты MIT</v>
          </cell>
        </row>
        <row r="12">
          <cell r="B12" t="str">
            <v>999200100_Софинансирование MIT</v>
          </cell>
          <cell r="C12" t="str">
            <v>999301000_Проект по созданию СИНТ (standalone)</v>
          </cell>
        </row>
        <row r="13">
          <cell r="B13" t="str">
            <v>999301100_СИНТ Управление</v>
          </cell>
          <cell r="C13" t="str">
            <v>999301000_Проект по созданию СИНТ (standalone)</v>
          </cell>
        </row>
        <row r="14">
          <cell r="B14" t="str">
            <v>999301211_ИЦ БМТ</v>
          </cell>
          <cell r="C14" t="str">
            <v>999301000_Проект по созданию СИНТ (standalone)</v>
          </cell>
        </row>
        <row r="15">
          <cell r="B15" t="str">
            <v>999301221_ИЦ ИТ</v>
          </cell>
          <cell r="C15" t="str">
            <v>999301000_Проект по созданию СИНТ (standalone)</v>
          </cell>
        </row>
        <row r="16">
          <cell r="B16" t="str">
            <v>999301231_ИЦ КТ</v>
          </cell>
          <cell r="C16" t="str">
            <v>999301000_Проект по созданию СИНТ (standalone)</v>
          </cell>
        </row>
        <row r="17">
          <cell r="B17" t="str">
            <v>999301241_ИЦ ЭЭТ</v>
          </cell>
          <cell r="C17" t="str">
            <v>999301000_Проект по созданию СИНТ (standalone)</v>
          </cell>
        </row>
        <row r="18">
          <cell r="B18" t="str">
            <v>999301251_ИЦ ЯТ</v>
          </cell>
          <cell r="C18" t="str">
            <v>999301000_Проект по созданию СИНТ (standalone)</v>
          </cell>
        </row>
        <row r="19">
          <cell r="B19" t="str">
            <v>999301299_ИЦ нераспределенный</v>
          </cell>
          <cell r="C19" t="str">
            <v>999301000_Проект по созданию СИНТ (standalone)</v>
          </cell>
        </row>
        <row r="20">
          <cell r="B20" t="str">
            <v>211010100_ЦКП БМТ</v>
          </cell>
          <cell r="C20" t="str">
            <v>211010000_ЦКП БМТ</v>
          </cell>
        </row>
        <row r="21">
          <cell r="B21" t="str">
            <v>211020100_ЦКП ИТ</v>
          </cell>
          <cell r="C21" t="str">
            <v>211020000_ЦКП ИТ</v>
          </cell>
        </row>
        <row r="22">
          <cell r="B22" t="str">
            <v>211030100_ЦКП КТ</v>
          </cell>
          <cell r="C22" t="str">
            <v>211030000_ЦКП КТ</v>
          </cell>
        </row>
        <row r="23">
          <cell r="B23" t="str">
            <v>211040100_ЦКП ЭЭТ</v>
          </cell>
          <cell r="C23" t="str">
            <v>211040000_ЦКП ЭЭТ</v>
          </cell>
        </row>
        <row r="24">
          <cell r="B24" t="str">
            <v>211050100_ЦКП ЯТ</v>
          </cell>
          <cell r="C24" t="str">
            <v>211050000_ЦКП ЯТ</v>
          </cell>
        </row>
        <row r="25">
          <cell r="B25" t="str">
            <v>211060100_Междисциплинарные ЦКП</v>
          </cell>
          <cell r="C25" t="str">
            <v>211060000_Междисциплинарные ЦКП</v>
          </cell>
        </row>
        <row r="26">
          <cell r="B26" t="str">
            <v>211990000_Планируемые к созданию ЦКП</v>
          </cell>
          <cell r="C26" t="str">
            <v>211990000_Планируемые к созданию ЦКП</v>
          </cell>
        </row>
        <row r="27">
          <cell r="B27" t="str">
            <v>212010100_ЦКО БМТ</v>
          </cell>
          <cell r="C27" t="str">
            <v>212010000_ЦКО БМТ</v>
          </cell>
        </row>
        <row r="28">
          <cell r="B28" t="str">
            <v>212020100_ЦКО ИТ</v>
          </cell>
          <cell r="C28" t="str">
            <v>212020000_ЦКО ИТ</v>
          </cell>
        </row>
        <row r="29">
          <cell r="B29" t="str">
            <v>212030100_ЦКО КТ</v>
          </cell>
          <cell r="C29" t="str">
            <v>212030000_ЦКО КТ</v>
          </cell>
        </row>
        <row r="30">
          <cell r="B30" t="str">
            <v>212040100_ЦКО ЭЭТ</v>
          </cell>
          <cell r="C30" t="str">
            <v>212040000_ЦКО ЭЭТ</v>
          </cell>
        </row>
        <row r="31">
          <cell r="B31" t="str">
            <v>212050100_ЦКО ЯТ</v>
          </cell>
          <cell r="C31" t="str">
            <v>212050000_ЦКО ЯТ</v>
          </cell>
        </row>
        <row r="32">
          <cell r="B32" t="str">
            <v>212060100_Междисциплинарные ЦКО</v>
          </cell>
          <cell r="C32" t="str">
            <v>212060000_Кросс-кластерные ЦКО</v>
          </cell>
        </row>
        <row r="33">
          <cell r="B33" t="str">
            <v>212990000_Планируемые к созданию ЦКО</v>
          </cell>
          <cell r="C33" t="str">
            <v>212990000_Планируемые к созданию ЦКО</v>
          </cell>
        </row>
        <row r="34">
          <cell r="B34" t="str">
            <v>251010100_"Аренда офисов"</v>
          </cell>
          <cell r="C34" t="str">
            <v>251010000_Развитие Технопарка и среды бизнес-услуг</v>
          </cell>
        </row>
        <row r="35">
          <cell r="B35" t="str">
            <v>251010200_"Бухгалтерский центр"</v>
          </cell>
          <cell r="C35" t="str">
            <v>251010000_Развитие Технопарка и среды бизнес-услуг</v>
          </cell>
        </row>
        <row r="36">
          <cell r="B36" t="str">
            <v>251010300_"Подбор персонала"</v>
          </cell>
          <cell r="C36" t="str">
            <v>251010000_Развитие Технопарка и среды бизнес-услуг</v>
          </cell>
        </row>
        <row r="37">
          <cell r="B37" t="str">
            <v>251010400_"Консультационный центр"</v>
          </cell>
          <cell r="C37" t="str">
            <v>251010000_Развитие Технопарка и среды бизнес-услуг</v>
          </cell>
        </row>
        <row r="38">
          <cell r="B38" t="str">
            <v>251010500_"Электронные базы данных и ПО"</v>
          </cell>
          <cell r="C38" t="str">
            <v>251010000_Развитие Технопарка и среды бизнес-услуг</v>
          </cell>
        </row>
        <row r="39">
          <cell r="B39" t="str">
            <v>251010600_"Бизнес тренер"</v>
          </cell>
          <cell r="C39" t="str">
            <v>251010000_Развитие Технопарка и среды бизнес-услуг</v>
          </cell>
        </row>
        <row r="40">
          <cell r="B40" t="str">
            <v>251010700_"Бизнес-консалтинг"</v>
          </cell>
          <cell r="C40" t="str">
            <v>251010000_Развитие Технопарка и среды бизнес-услуг</v>
          </cell>
        </row>
        <row r="41">
          <cell r="B41" t="str">
            <v>251010800_"Обучение и трейнинги"</v>
          </cell>
          <cell r="C41" t="str">
            <v>251010000_Развитие Технопарка и среды бизнес-услуг</v>
          </cell>
        </row>
        <row r="42">
          <cell r="B42" t="str">
            <v>251010900_"Поиск бизнес- партнера"</v>
          </cell>
          <cell r="C42" t="str">
            <v>251010000_Развитие Технопарка и среды бизнес-услуг</v>
          </cell>
        </row>
        <row r="43">
          <cell r="B43" t="str">
            <v>251011000_Конференционная деятельность</v>
          </cell>
          <cell r="C43" t="str">
            <v>251010000_Развитие Технопарка и среды бизнес-услуг</v>
          </cell>
        </row>
        <row r="44">
          <cell r="B44" t="str">
            <v>251011100_Создание сист. стратегич. партнерства</v>
          </cell>
          <cell r="C44" t="str">
            <v>251010000_Развитие Технопарка и среды бизнес-услуг</v>
          </cell>
        </row>
        <row r="45">
          <cell r="B45" t="str">
            <v>251011200_"Telepresence инфраструктура"</v>
          </cell>
          <cell r="C45" t="str">
            <v>251010000_Развитие Технопарка и среды бизнес-услуг</v>
          </cell>
        </row>
        <row r="46">
          <cell r="B46" t="str">
            <v>251011300_Процессы Технопарка</v>
          </cell>
          <cell r="C46" t="str">
            <v>251010000_Развитие Технопарка и среды бизнес-услуг</v>
          </cell>
        </row>
        <row r="47">
          <cell r="B47" t="str">
            <v>251020100_Telepresence</v>
          </cell>
          <cell r="C47" t="str">
            <v>251020000_Развитие инфраструктуры Технопарка</v>
          </cell>
        </row>
        <row r="48">
          <cell r="B48" t="str">
            <v>251020200_Создание офисной инфраструктуры</v>
          </cell>
          <cell r="C48" t="str">
            <v>251020000_Развитие инфраструктуры Технопарка</v>
          </cell>
        </row>
        <row r="49">
          <cell r="B49" t="str">
            <v>251020300_Создание ИТ решений и инфраструктуры ТПС</v>
          </cell>
          <cell r="C49" t="str">
            <v>251020000_Развитие инфраструктуры Технопарка</v>
          </cell>
        </row>
        <row r="50">
          <cell r="B50" t="str">
            <v>251020400_ПО и базы данных</v>
          </cell>
          <cell r="C50" t="str">
            <v>251020000_Развитие инфраструктуры Технопарка</v>
          </cell>
        </row>
        <row r="51">
          <cell r="B51" t="str">
            <v>251050100_Формирование и развитие услуг ЦИС</v>
          </cell>
          <cell r="C51" t="str">
            <v>251050000_Развитие ЦИС</v>
          </cell>
        </row>
        <row r="52">
          <cell r="B52" t="str">
            <v>251050200_Процессы ЦИС</v>
          </cell>
          <cell r="C52" t="str">
            <v>251050000_Развитие ЦИС</v>
          </cell>
        </row>
        <row r="53">
          <cell r="B53" t="str">
            <v>291010100_Функция таможенного представителя</v>
          </cell>
          <cell r="C53" t="str">
            <v>291010000_Таможенный представитель</v>
          </cell>
        </row>
        <row r="54">
          <cell r="B54" t="str">
            <v>291010200_Процессы ТФК</v>
          </cell>
          <cell r="C54" t="str">
            <v>291010000_Таможенный представитель</v>
          </cell>
        </row>
        <row r="55">
          <cell r="B55" t="str">
            <v>992120601_Софинансирование ЦКО</v>
          </cell>
          <cell r="C55" t="str">
            <v>999201000_Софинансирование участников Проекта</v>
          </cell>
        </row>
        <row r="56">
          <cell r="B56" t="str">
            <v>231010200_Взаимодействие с ключевыми партнерами</v>
          </cell>
          <cell r="C56" t="str">
            <v>231010000_Коммерциализ. и работа с ключ.партнерами</v>
          </cell>
        </row>
        <row r="57">
          <cell r="B57" t="str">
            <v>232010100_Roadshow для потенциальных инвесторов</v>
          </cell>
          <cell r="C57" t="str">
            <v>232010000_Программа привл. финанс. в комп.-участ.</v>
          </cell>
        </row>
        <row r="58">
          <cell r="B58" t="str">
            <v>281011000_Концепция медицинских услуг</v>
          </cell>
          <cell r="C58" t="str">
            <v>281010000_Создание социальной среды</v>
          </cell>
        </row>
        <row r="59">
          <cell r="B59" t="str">
            <v>282010000_Культура и нематериальная среда</v>
          </cell>
          <cell r="C59" t="str">
            <v>282010000_Культура и нематериальная среда</v>
          </cell>
        </row>
        <row r="60">
          <cell r="B60" t="str">
            <v>282090000_Процессы нематериальной среды</v>
          </cell>
          <cell r="C60" t="str">
            <v>282010000_Культура и нематериальная среда</v>
          </cell>
        </row>
        <row r="61">
          <cell r="B61" t="str">
            <v>991910701_Средняя школа</v>
          </cell>
          <cell r="C61" t="str">
            <v>999101000_Строительные проекты со-финансирование</v>
          </cell>
        </row>
        <row r="62">
          <cell r="B62" t="str">
            <v>991910702_Клиника</v>
          </cell>
          <cell r="C62" t="str">
            <v>999101000_Строительные проекты со-финансирование</v>
          </cell>
        </row>
        <row r="63">
          <cell r="B63" t="str">
            <v>991910703_Сеть спортивных центров</v>
          </cell>
          <cell r="C63" t="str">
            <v>999101000_Строительные проекты со-финансирование</v>
          </cell>
        </row>
        <row r="64">
          <cell r="B64" t="str">
            <v>991910704_Сети общественного питания</v>
          </cell>
          <cell r="C64" t="str">
            <v>999101000_Строительные проекты со-финансирование</v>
          </cell>
        </row>
        <row r="65">
          <cell r="B65" t="str">
            <v>991910705_Торговые сети</v>
          </cell>
          <cell r="C65" t="str">
            <v>999101000_Строительные проекты со-финансирование</v>
          </cell>
        </row>
        <row r="66">
          <cell r="B66" t="str">
            <v>241090100_Аудит и Мониторинг получателей грантов</v>
          </cell>
          <cell r="C66" t="str">
            <v xml:space="preserve">241090000_Мониторинг подписанных получателей </v>
          </cell>
        </row>
        <row r="67">
          <cell r="B67" t="str">
            <v>241100001_ООО "М-Пауэр Ворлд"</v>
          </cell>
          <cell r="C67" t="str">
            <v>241100000_Подписанные получатели грантов БМТ</v>
          </cell>
        </row>
        <row r="68">
          <cell r="B68" t="str">
            <v>241100007_ООО "Фарма Био"</v>
          </cell>
          <cell r="C68" t="str">
            <v>241100000_Подписанные получатели грантов БМТ</v>
          </cell>
        </row>
        <row r="69">
          <cell r="B69" t="str">
            <v>241100008_ООО "НьюВак"</v>
          </cell>
          <cell r="C69" t="str">
            <v>241100000_Подписанные получатели грантов БМТ</v>
          </cell>
        </row>
        <row r="70">
          <cell r="B70" t="str">
            <v>241100009_ООО "Инноград Пущино"</v>
          </cell>
          <cell r="C70" t="str">
            <v>241100000_Подписанные получатели грантов БМТ</v>
          </cell>
        </row>
        <row r="71">
          <cell r="B71" t="str">
            <v>241100010_ООО"Уральский центр биофарм. технологий"</v>
          </cell>
          <cell r="C71" t="str">
            <v>241100000_Подписанные получатели грантов БМТ</v>
          </cell>
        </row>
        <row r="72">
          <cell r="B72" t="str">
            <v>241100018_ООО "Биостэн"</v>
          </cell>
          <cell r="C72" t="str">
            <v>241100000_Подписанные получатели грантов БМТ</v>
          </cell>
        </row>
        <row r="73">
          <cell r="B73" t="str">
            <v>241100019_ООО "Квантум Фармасьютикалс"</v>
          </cell>
          <cell r="C73" t="str">
            <v>241100000_Подписанные получатели грантов БМТ</v>
          </cell>
        </row>
        <row r="74">
          <cell r="B74" t="str">
            <v>241100025_ООО "Инновационные Технологии"</v>
          </cell>
          <cell r="C74" t="str">
            <v>241100000_Подписанные получатели грантов БМТ</v>
          </cell>
        </row>
        <row r="75">
          <cell r="B75" t="str">
            <v>241100030_ООО "Инкурон"</v>
          </cell>
          <cell r="C75" t="str">
            <v>241100000_Подписанные получатели грантов БМТ</v>
          </cell>
        </row>
        <row r="76">
          <cell r="B76" t="str">
            <v>241100038_ООО "Фьюжн Фарма"</v>
          </cell>
          <cell r="C76" t="str">
            <v>241100000_Подписанные получатели грантов БМТ</v>
          </cell>
        </row>
        <row r="77">
          <cell r="B77" t="str">
            <v>241100039_ООО "ОнкоМакс"</v>
          </cell>
          <cell r="C77" t="str">
            <v>241100000_Подписанные получатели грантов БМТ</v>
          </cell>
        </row>
        <row r="78">
          <cell r="B78" t="str">
            <v>241101000_Мини-гранты БМТ</v>
          </cell>
          <cell r="C78" t="str">
            <v>241100000_Подписанные получатели грантов БМТ</v>
          </cell>
        </row>
        <row r="79">
          <cell r="B79" t="str">
            <v>241200002_ООО "Базелевс Инновации"</v>
          </cell>
          <cell r="C79" t="str">
            <v>241200000_Подписанные получатели грантов ИТ</v>
          </cell>
        </row>
        <row r="80">
          <cell r="B80" t="str">
            <v>241200004_ООО "Аби инфопоиск"</v>
          </cell>
          <cell r="C80" t="str">
            <v>241200000_Подписанные получатели грантов ИТ</v>
          </cell>
        </row>
        <row r="81">
          <cell r="B81" t="str">
            <v>241200014_ООО "Параллелз Рисерч"</v>
          </cell>
          <cell r="C81" t="str">
            <v>241200000_Подписанные получатели грантов ИТ</v>
          </cell>
        </row>
        <row r="82">
          <cell r="B82" t="str">
            <v>241200016_ООО "ДАТАДВАНС"</v>
          </cell>
          <cell r="C82" t="str">
            <v>241200000_Подписанные получатели грантов ИТ</v>
          </cell>
        </row>
        <row r="83">
          <cell r="B83" t="str">
            <v>241200017_ООО "Кузнеч"</v>
          </cell>
          <cell r="C83" t="str">
            <v>241200000_Подписанные получатели грантов ИТ</v>
          </cell>
        </row>
        <row r="84">
          <cell r="B84" t="str">
            <v>241200020_ООО "Астерос Лабс"</v>
          </cell>
          <cell r="C84" t="str">
            <v>241200000_Подписанные получатели грантов ИТ</v>
          </cell>
        </row>
        <row r="85">
          <cell r="B85" t="str">
            <v>241200021_ООО "ТРИДИВИ"</v>
          </cell>
          <cell r="C85" t="str">
            <v>241200000_Подписанные получатели грантов ИТ</v>
          </cell>
        </row>
        <row r="86">
          <cell r="B86" t="str">
            <v>241200024_ООО "Ньюс360"</v>
          </cell>
          <cell r="C86" t="str">
            <v>241200000_Подписанные получатели грантов ИТ</v>
          </cell>
        </row>
        <row r="87">
          <cell r="B87" t="str">
            <v>241200026_ООО "ФИДЕСИС"</v>
          </cell>
          <cell r="C87" t="str">
            <v>241200000_Подписанные получатели грантов ИТ</v>
          </cell>
        </row>
        <row r="88">
          <cell r="B88" t="str">
            <v>241200027_ООО "ЦРТ - инновации"</v>
          </cell>
          <cell r="C88" t="str">
            <v>241200000_Подписанные получатели грантов ИТ</v>
          </cell>
        </row>
        <row r="89">
          <cell r="B89" t="str">
            <v>241200031_ООО "Воркл"</v>
          </cell>
          <cell r="C89" t="str">
            <v>241200000_Подписанные получатели грантов ИТ</v>
          </cell>
        </row>
        <row r="90">
          <cell r="B90" t="str">
            <v>241200036_ООО "МЦКТ"</v>
          </cell>
          <cell r="C90" t="str">
            <v>241200000_Подписанные получатели грантов ИТ</v>
          </cell>
        </row>
        <row r="91">
          <cell r="B91" t="str">
            <v>241200037_ООО "Т-смарт"</v>
          </cell>
          <cell r="C91" t="str">
            <v>241200000_Подписанные получатели грантов ИТ</v>
          </cell>
        </row>
        <row r="92">
          <cell r="B92" t="str">
            <v>241200040_ООО "Рок Флоу Динамикс"</v>
          </cell>
          <cell r="C92" t="str">
            <v>241200000_Подписанные получатели грантов ИТ</v>
          </cell>
        </row>
        <row r="93">
          <cell r="B93" t="str">
            <v>241200041_ООО "НПК "Интелл. платформы и решения"</v>
          </cell>
          <cell r="C93" t="str">
            <v>241200000_Подписанные получатели грантов ИТ</v>
          </cell>
        </row>
        <row r="94">
          <cell r="B94" t="str">
            <v>241200042_ООО "Спиктуит"</v>
          </cell>
          <cell r="C94" t="str">
            <v>241200000_Подписанные получатели грантов ИТ</v>
          </cell>
        </row>
        <row r="95">
          <cell r="B95" t="str">
            <v>241200043_ООО "Рэйдикс"</v>
          </cell>
          <cell r="C95" t="str">
            <v>241200000_Подписанные получатели грантов ИТ</v>
          </cell>
        </row>
        <row r="96">
          <cell r="B96" t="str">
            <v>241200046_ООО "Юниклауд Лабс"</v>
          </cell>
          <cell r="C96" t="str">
            <v>241200000_Подписанные получатели грантов ИТ</v>
          </cell>
        </row>
        <row r="97">
          <cell r="B97" t="str">
            <v>241200050_ООО "Колловэар"</v>
          </cell>
          <cell r="C97" t="str">
            <v>241200000_Подписанные получатели грантов ИТ</v>
          </cell>
        </row>
        <row r="98">
          <cell r="B98" t="str">
            <v>241200052_ООО "Кинтех Лаб"</v>
          </cell>
          <cell r="C98" t="str">
            <v>241200000_Подписанные получатели грантов ИТ</v>
          </cell>
        </row>
        <row r="99">
          <cell r="B99" t="str">
            <v>241200053_ООО "Системы Компьютерного Зрения"</v>
          </cell>
          <cell r="C99" t="str">
            <v>241200000_Подписанные получатели грантов ИТ</v>
          </cell>
        </row>
        <row r="100">
          <cell r="B100" t="str">
            <v>241201000_Мини-гранты ИТ</v>
          </cell>
          <cell r="C100" t="str">
            <v>241200000_Подписанные получатели грантов ИТ</v>
          </cell>
        </row>
        <row r="101">
          <cell r="B101" t="str">
            <v>241400003_ООО "НТЦ тонкоплен. технологий при ФТИ"</v>
          </cell>
          <cell r="C101" t="str">
            <v>241400000_Подписанные получатели грантов ЭЭТ</v>
          </cell>
        </row>
        <row r="102">
          <cell r="B102" t="str">
            <v>241400011_ООО "Оптифлейм Солюшенз"</v>
          </cell>
          <cell r="C102" t="str">
            <v>241400000_Подписанные получатели грантов ЭЭТ</v>
          </cell>
        </row>
        <row r="103">
          <cell r="B103" t="str">
            <v>241400012_ЗАО "ЭЛТОН"</v>
          </cell>
          <cell r="C103" t="str">
            <v>241400000_Подписанные получатели грантов ЭЭТ</v>
          </cell>
        </row>
        <row r="104">
          <cell r="B104" t="str">
            <v>241400029_ООО "Оптоган. Новые технологии света"</v>
          </cell>
          <cell r="C104" t="str">
            <v>241400000_Подписанные получатели грантов ЭЭТ</v>
          </cell>
        </row>
        <row r="105">
          <cell r="B105" t="str">
            <v>241400032_ООО "НБС БиоЛаб"</v>
          </cell>
          <cell r="C105" t="str">
            <v>241400000_Подписанные получатели грантов ЭЭТ</v>
          </cell>
        </row>
        <row r="106">
          <cell r="B106" t="str">
            <v>241400033_ООО "ФМ Лаб"</v>
          </cell>
          <cell r="C106" t="str">
            <v>241400000_Подписанные получатели грантов ЭЭТ</v>
          </cell>
        </row>
        <row r="107">
          <cell r="B107" t="str">
            <v>241400034_ООО "РРТ"</v>
          </cell>
          <cell r="C107" t="str">
            <v>241400000_Подписанные получатели грантов ЭЭТ</v>
          </cell>
        </row>
        <row r="108">
          <cell r="B108" t="str">
            <v>241400035_ООО "Объед.Комп. РУСАЛ Инж.-техн. центр"</v>
          </cell>
          <cell r="C108" t="str">
            <v>241400000_Подписанные получатели грантов ЭЭТ</v>
          </cell>
        </row>
        <row r="109">
          <cell r="B109" t="str">
            <v>241400047_ООО "Мобикс чип"</v>
          </cell>
          <cell r="C109" t="str">
            <v>241400000_Подписанные получатели грантов ЭЭТ</v>
          </cell>
        </row>
        <row r="110">
          <cell r="B110" t="str">
            <v>241400054_ООО "Савант Рисерч энд Девелопмент"</v>
          </cell>
          <cell r="C110" t="str">
            <v>241400000_Подписанные получатели грантов ЭЭТ</v>
          </cell>
        </row>
        <row r="111">
          <cell r="B111" t="str">
            <v>241401000_Мини-гранты ЭЭТ</v>
          </cell>
          <cell r="C111" t="str">
            <v>241400000_Подписанные получатели грантов ЭЭТ</v>
          </cell>
        </row>
        <row r="112">
          <cell r="B112" t="str">
            <v>245010100_Разраб. и актуализ. форсайтов кластеров</v>
          </cell>
          <cell r="C112" t="str">
            <v>245010000_Разраб. и актуализ. форсайтов кластеров</v>
          </cell>
        </row>
        <row r="113">
          <cell r="B113" t="str">
            <v>245020100_Webinar services</v>
          </cell>
          <cell r="C113" t="str">
            <v>245020000_Программа взаим. с комп.-участ. и средой</v>
          </cell>
        </row>
        <row r="114">
          <cell r="B114" t="str">
            <v>245020200_Процессы взаимод. с компаниями-участ-ми</v>
          </cell>
          <cell r="C114" t="str">
            <v>245020000_Программа взаим. с комп.-участ. и средой</v>
          </cell>
        </row>
        <row r="115">
          <cell r="B115" t="str">
            <v>245020300_ИТ система Взаимодействия с участниками</v>
          </cell>
          <cell r="C115" t="str">
            <v>245020000_Программа взаим. с комп.-участ. и средой</v>
          </cell>
        </row>
        <row r="116">
          <cell r="B116" t="str">
            <v>245020400_Взаим-е предприн.-технологич. сообществ</v>
          </cell>
          <cell r="C116" t="str">
            <v>245020000_Программа взаим. с комп.-участ. и средой</v>
          </cell>
        </row>
        <row r="117">
          <cell r="B117" t="str">
            <v>245020500_Roadshow для потенциальных участников</v>
          </cell>
          <cell r="C117" t="str">
            <v>245020000_Программа взаим. с комп.-участ. и средой</v>
          </cell>
        </row>
        <row r="118">
          <cell r="B118" t="str">
            <v>246010100_Информационно-коммуникационная среда</v>
          </cell>
          <cell r="C118" t="str">
            <v>246010000_Виртуальное Сколково</v>
          </cell>
        </row>
        <row r="119">
          <cell r="B119" t="str">
            <v>246010200_Среда для совместной работы</v>
          </cell>
          <cell r="C119" t="str">
            <v>246010000_Виртуальное Сколково</v>
          </cell>
        </row>
        <row r="120">
          <cell r="B120" t="str">
            <v>246010300_ИТ Инфраструктура ВС</v>
          </cell>
          <cell r="C120" t="str">
            <v>246010000_Виртуальное Сколково</v>
          </cell>
        </row>
        <row r="121">
          <cell r="B121" t="str">
            <v>249100100_Потенциальный проект 0 стадия БМТ</v>
          </cell>
          <cell r="C121" t="str">
            <v>249100000_Потенциальные получатели грантов БМТ</v>
          </cell>
        </row>
        <row r="122">
          <cell r="B122" t="str">
            <v>249100200_Потенциальный проект 1 стадия БМТ</v>
          </cell>
          <cell r="C122" t="str">
            <v>249100000_Потенциальные получатели грантов БМТ</v>
          </cell>
        </row>
        <row r="123">
          <cell r="B123" t="str">
            <v>249100300_Потенциальный проект 2 стадия БМТ</v>
          </cell>
          <cell r="C123" t="str">
            <v>249100000_Потенциальные получатели грантов БМТ</v>
          </cell>
        </row>
        <row r="124">
          <cell r="B124" t="str">
            <v>249100400_Потенциальный проект 3 стадия БМТ</v>
          </cell>
          <cell r="C124" t="str">
            <v>249100000_Потенциальные получатели грантов БМТ</v>
          </cell>
        </row>
        <row r="125">
          <cell r="B125" t="str">
            <v>249100900_Потенц. проекты ЦПИ БМТ</v>
          </cell>
          <cell r="C125" t="str">
            <v>249100000_Потенциальные получатели грантов БМТ</v>
          </cell>
        </row>
        <row r="126">
          <cell r="B126" t="str">
            <v>249200100_Потенциальный проект 0 стадия ИТ</v>
          </cell>
          <cell r="C126" t="str">
            <v>249200000_Потенциальные получатели грантов ИТ</v>
          </cell>
        </row>
        <row r="127">
          <cell r="B127" t="str">
            <v>249200200_Потенциальный проект 1 стадия ИТ</v>
          </cell>
          <cell r="C127" t="str">
            <v>249200000_Потенциальные получатели грантов ИТ</v>
          </cell>
        </row>
        <row r="128">
          <cell r="B128" t="str">
            <v>249200300_Потенциальный проект 2 стадия ИТ</v>
          </cell>
          <cell r="C128" t="str">
            <v>249200000_Потенциальные получатели грантов ИТ</v>
          </cell>
        </row>
        <row r="129">
          <cell r="B129" t="str">
            <v>249200400_Потенциальный проект 3 стадия ИТ</v>
          </cell>
          <cell r="C129" t="str">
            <v>249200000_Потенциальные получатели грантов ИТ</v>
          </cell>
        </row>
        <row r="130">
          <cell r="B130" t="str">
            <v>249200900_Потенц. проекты ЦПИ ИТ</v>
          </cell>
          <cell r="C130" t="str">
            <v>249200000_Потенциальные получатели грантов ИТ</v>
          </cell>
        </row>
        <row r="131">
          <cell r="B131" t="str">
            <v>249300100_Потенциальный проект 0 стадия КТ</v>
          </cell>
          <cell r="C131" t="str">
            <v>249300000_Потенциальные получатели грантов КТ</v>
          </cell>
        </row>
        <row r="132">
          <cell r="B132" t="str">
            <v>249300200_Потенциальный проект 1 стадия КТ</v>
          </cell>
          <cell r="C132" t="str">
            <v>249300000_Потенциальные получатели грантов КТ</v>
          </cell>
        </row>
        <row r="133">
          <cell r="B133" t="str">
            <v>249300300_Потенциальный проект 2 стадия КТ</v>
          </cell>
          <cell r="C133" t="str">
            <v>249300000_Потенциальные получатели грантов КТ</v>
          </cell>
        </row>
        <row r="134">
          <cell r="B134" t="str">
            <v>249300400_Потенциальный проект 3 стадия КТ</v>
          </cell>
          <cell r="C134" t="str">
            <v>249300000_Потенциальные получатели грантов КТ</v>
          </cell>
        </row>
        <row r="135">
          <cell r="B135" t="str">
            <v>249300900_Потенц. проекты ЦПИ КТ</v>
          </cell>
          <cell r="C135" t="str">
            <v>249300000_Потенциальные получатели грантов КТ</v>
          </cell>
        </row>
        <row r="136">
          <cell r="B136" t="str">
            <v>249400100_Потенциальный проект 0 стадия ЭЭТ</v>
          </cell>
          <cell r="C136" t="str">
            <v>249400000_Потенциальные получатели грантов ЭЭТ</v>
          </cell>
        </row>
        <row r="137">
          <cell r="B137" t="str">
            <v>249400200_Потенциальный проект 1 стадия ЭЭТ</v>
          </cell>
          <cell r="C137" t="str">
            <v>249400000_Потенциальные получатели грантов ЭЭТ</v>
          </cell>
        </row>
        <row r="138">
          <cell r="B138" t="str">
            <v>249400300_Потенциальный проект 2 стадия ЭЭТ</v>
          </cell>
          <cell r="C138" t="str">
            <v>249400000_Потенциальные получатели грантов ЭЭТ</v>
          </cell>
        </row>
        <row r="139">
          <cell r="B139" t="str">
            <v>249400400_Потенциальный проект 3 стадия ЭЭТ</v>
          </cell>
          <cell r="C139" t="str">
            <v>249400000_Потенциальные получатели грантов ЭЭТ</v>
          </cell>
        </row>
        <row r="140">
          <cell r="B140" t="str">
            <v>249400900_Потенц. проекты ЦПИ ЭЭТ</v>
          </cell>
          <cell r="C140" t="str">
            <v>249400000_Потенциальные получатели грантов ЭЭТ</v>
          </cell>
        </row>
        <row r="141">
          <cell r="B141" t="str">
            <v>249500100_Потенциальный проект 0 стадия ЯТ</v>
          </cell>
          <cell r="C141" t="str">
            <v>249500000_Потенциальные получатели грантов ЯТ</v>
          </cell>
        </row>
        <row r="142">
          <cell r="B142" t="str">
            <v>249500200_Потенциальный проект 1 стадия ЯТ</v>
          </cell>
          <cell r="C142" t="str">
            <v>249500000_Потенциальные получатели грантов ЯТ</v>
          </cell>
        </row>
        <row r="143">
          <cell r="B143" t="str">
            <v>249500300_Потенциальный проект 2 стадия ЯТ</v>
          </cell>
          <cell r="C143" t="str">
            <v>249500000_Потенциальные получатели грантов ЯТ</v>
          </cell>
        </row>
        <row r="144">
          <cell r="B144" t="str">
            <v>249500400_Потенциальный проект 3 стадия ЯТ</v>
          </cell>
          <cell r="C144" t="str">
            <v>249500000_Потенциальные получатели грантов ЯТ</v>
          </cell>
        </row>
        <row r="145">
          <cell r="B145" t="str">
            <v>249500900_Потенц. проекты ЦПИ ЯТ</v>
          </cell>
          <cell r="C145" t="str">
            <v>249500000_Потенциальные получатели грантов ЯТ</v>
          </cell>
        </row>
        <row r="146">
          <cell r="B146" t="str">
            <v>249811100_Экспертиза и отбор потенц. участников</v>
          </cell>
          <cell r="C146" t="str">
            <v>249800000_Отбор и оценка потенц. участ. и получат.</v>
          </cell>
        </row>
        <row r="147">
          <cell r="B147" t="str">
            <v>249811200_Эксперт. и оценка претенд. получ. гранта</v>
          </cell>
          <cell r="C147" t="str">
            <v>249800000_Отбор и оценка потенц. участ. и получат.</v>
          </cell>
        </row>
        <row r="148">
          <cell r="B148" t="str">
            <v>249990000_Процессы кластеров</v>
          </cell>
          <cell r="C148" t="str">
            <v>249800000_Отбор и оценка потенц. участ. и получат.</v>
          </cell>
        </row>
        <row r="149">
          <cell r="B149" t="str">
            <v>261010100_Снижение административных барьеров</v>
          </cell>
          <cell r="C149" t="str">
            <v>261010000_Связи с Госорганами и общ орг. (Россия)</v>
          </cell>
        </row>
        <row r="150">
          <cell r="B150" t="str">
            <v>261010200_Меропр. по форм. сист. общест. поддержки</v>
          </cell>
          <cell r="C150" t="str">
            <v>261010000_Связи с Госорганами и общ орг. (Россия)</v>
          </cell>
        </row>
        <row r="151">
          <cell r="B151" t="str">
            <v xml:space="preserve">262010000_Создание благоприятной правовой среды </v>
          </cell>
          <cell r="C151" t="str">
            <v xml:space="preserve">262010000_Создание благоприятной правовой среды </v>
          </cell>
        </row>
        <row r="152">
          <cell r="B152" t="str">
            <v>271110100_Пресс-конф., брифинги и акции в СМИ</v>
          </cell>
          <cell r="C152" t="str">
            <v>271110000_Внешние коммуникации  и PR (Россия)</v>
          </cell>
        </row>
        <row r="153">
          <cell r="B153" t="str">
            <v>271110200_Рекламные компании и акции</v>
          </cell>
          <cell r="C153" t="str">
            <v>271110000_Внешние коммуникации  и PR (Россия)</v>
          </cell>
        </row>
        <row r="154">
          <cell r="B154" t="str">
            <v>271110300_Форумы и акции</v>
          </cell>
          <cell r="C154" t="str">
            <v>271110000_Внешние коммуникации  и PR (Россия)</v>
          </cell>
        </row>
        <row r="155">
          <cell r="B155" t="str">
            <v>271110400_Клуб участников и партнеров Проекта</v>
          </cell>
          <cell r="C155" t="str">
            <v>271110000_Внешние коммуникации  и PR (Россия)</v>
          </cell>
        </row>
        <row r="156">
          <cell r="B156" t="str">
            <v>271110500_Провед. конкурс. потенц. участ. и партн.</v>
          </cell>
          <cell r="C156" t="str">
            <v>271110000_Внешние коммуникации  и PR (Россия)</v>
          </cell>
        </row>
        <row r="157">
          <cell r="B157" t="str">
            <v>271120100_Междунар. Форумы и акции</v>
          </cell>
          <cell r="C157" t="str">
            <v>271120000_Внешние коммуникации  и PR (Intern)</v>
          </cell>
        </row>
        <row r="158">
          <cell r="B158" t="str">
            <v>271120200_Media-events</v>
          </cell>
          <cell r="C158" t="str">
            <v>271120000_Внешние коммуникации  и PR (Intern)</v>
          </cell>
        </row>
        <row r="159">
          <cell r="B159" t="str">
            <v>271120300_Акции в зарубежных СМИ</v>
          </cell>
          <cell r="C159" t="str">
            <v>271120000_Внешние коммуникации  и PR (Intern)</v>
          </cell>
        </row>
        <row r="160">
          <cell r="B160" t="str">
            <v>271130100_Конф. и презентации Сколково за рубежом</v>
          </cell>
          <cell r="C160" t="str">
            <v>271130000_Связи с общест.и и правит. орг. (Intern)</v>
          </cell>
        </row>
        <row r="161">
          <cell r="B161" t="str">
            <v>275010100_Мониторинг и аналитика</v>
          </cell>
          <cell r="C161" t="str">
            <v>275010000_Создание и управление Брендом</v>
          </cell>
        </row>
        <row r="162">
          <cell r="B162" t="str">
            <v>275010200_Продвижение бренда (Россия)</v>
          </cell>
          <cell r="C162" t="str">
            <v>275010000_Создание и управление Брендом</v>
          </cell>
        </row>
        <row r="163">
          <cell r="B163" t="str">
            <v>275010300_Продвижение бренда (Inter)</v>
          </cell>
          <cell r="C163" t="str">
            <v>275010000_Создание и управление Брендом</v>
          </cell>
        </row>
        <row r="164">
          <cell r="B164" t="str">
            <v>277010100_Взаимод-ие с арх. и строит. сообществ.</v>
          </cell>
          <cell r="C164" t="str">
            <v>277010000_Образ Иннограда Сколково</v>
          </cell>
        </row>
        <row r="165">
          <cell r="B165" t="str">
            <v>277010200_Продвижение Иннограда за рубежом</v>
          </cell>
        </row>
        <row r="166">
          <cell r="B166" t="str">
            <v>277010300_Продвижение Иннограда в России</v>
          </cell>
        </row>
        <row r="167">
          <cell r="B167" t="str">
            <v>992491001_Софинансирование Грантов</v>
          </cell>
          <cell r="C167" t="str">
            <v>999201000_Софинансирование участников Проекта</v>
          </cell>
        </row>
        <row r="168">
          <cell r="B168" t="str">
            <v>241301000_Мини-гранты КТ</v>
          </cell>
          <cell r="C168" t="str">
            <v>241300000_Подписанные получатели грантов КТ</v>
          </cell>
        </row>
        <row r="169">
          <cell r="B169" t="str">
            <v>241500044_ООО "Сименс НИЦ"</v>
          </cell>
          <cell r="C169" t="str">
            <v>241500000_Подписанные получатели грантов ЯТ</v>
          </cell>
        </row>
        <row r="170">
          <cell r="B170" t="str">
            <v>241500051_ООО "ЭУФ Лабс"</v>
          </cell>
          <cell r="C170" t="str">
            <v>241500000_Подписанные получатели грантов ЯТ</v>
          </cell>
        </row>
        <row r="171">
          <cell r="B171" t="str">
            <v>241501000_Мини-гранты ЯТ</v>
          </cell>
          <cell r="C171" t="str">
            <v>241500000_Подписанные получатели грантов ЯТ</v>
          </cell>
        </row>
        <row r="172">
          <cell r="B172" t="str">
            <v>279090000_Процессы PR</v>
          </cell>
          <cell r="C172" t="str">
            <v>279090000_Процессы PR</v>
          </cell>
        </row>
        <row r="173">
          <cell r="B173" t="str">
            <v>111010100_Технопарк</v>
          </cell>
          <cell r="C173" t="str">
            <v>111010000_D2 Технопарк</v>
          </cell>
        </row>
        <row r="174">
          <cell r="B174" t="str">
            <v>111010200_D2 - Земля для стр-ва за счет инвест.</v>
          </cell>
          <cell r="C174" t="str">
            <v>111010000_D2 Технопарк</v>
          </cell>
        </row>
        <row r="175">
          <cell r="B175" t="str">
            <v>111010300_D2 - Здания для исслед. и разраб. (R&amp;D)</v>
          </cell>
          <cell r="C175" t="str">
            <v>111010000_D2 Технопарк</v>
          </cell>
        </row>
        <row r="176">
          <cell r="B176" t="str">
            <v>111010400_D2 - Апартаменты</v>
          </cell>
          <cell r="C176" t="str">
            <v>111010000_D2 Технопарк</v>
          </cell>
        </row>
        <row r="177">
          <cell r="B177" t="str">
            <v>111010500_D2 - Торговля и услуги шаг. доступности</v>
          </cell>
          <cell r="C177" t="str">
            <v>111010000_D2 Технопарк</v>
          </cell>
        </row>
        <row r="178">
          <cell r="B178" t="str">
            <v>111010800_D2 - Семейный кампус</v>
          </cell>
          <cell r="C178" t="str">
            <v>111010000_D2 Технопарк</v>
          </cell>
        </row>
        <row r="179">
          <cell r="B179" t="str">
            <v>111010900_D2 - Ландшафт внутрирайонный</v>
          </cell>
          <cell r="C179" t="str">
            <v>111010000_D2 Технопарк</v>
          </cell>
        </row>
        <row r="180">
          <cell r="B180" t="str">
            <v>111011000_Полицейский участок</v>
          </cell>
          <cell r="C180" t="str">
            <v>111010000_D2 Технопарк</v>
          </cell>
        </row>
        <row r="181">
          <cell r="B181" t="str">
            <v>111011100_Станция пожарной охраны</v>
          </cell>
          <cell r="C181" t="str">
            <v>111010000_D2 Технопарк</v>
          </cell>
        </row>
        <row r="182">
          <cell r="B182" t="str">
            <v>111020100_Z1 - Гостиницы</v>
          </cell>
          <cell r="C182" t="str">
            <v>111020000_Z1 Гостевая зона</v>
          </cell>
        </row>
        <row r="183">
          <cell r="B183" t="str">
            <v>111020200_Многофункциональный переход</v>
          </cell>
          <cell r="C183" t="str">
            <v>111020000_Z1 Гостевая зона</v>
          </cell>
        </row>
        <row r="184">
          <cell r="B184" t="str">
            <v>111020300_Вокзал</v>
          </cell>
          <cell r="C184" t="str">
            <v>111020000_Z1 Гостевая зона</v>
          </cell>
        </row>
        <row r="185">
          <cell r="B185" t="str">
            <v>111020400_Транспортный хаб</v>
          </cell>
          <cell r="C185" t="str">
            <v>111020000_Z1 Гостевая зона</v>
          </cell>
        </row>
        <row r="186">
          <cell r="B186" t="str">
            <v>111020500_Многофункц. комплекс (Большой Куб)</v>
          </cell>
          <cell r="C186" t="str">
            <v>111020000_Z1 Гостевая зона</v>
          </cell>
        </row>
        <row r="187">
          <cell r="B187" t="str">
            <v>111020600_Административное здание Сколково</v>
          </cell>
          <cell r="C187" t="str">
            <v>111020000_Z1 Гостевая зона</v>
          </cell>
        </row>
        <row r="188">
          <cell r="B188" t="str">
            <v>111020700_Политех Сколково</v>
          </cell>
          <cell r="C188" t="str">
            <v>111020000_Z1 Гостевая зона</v>
          </cell>
        </row>
        <row r="189">
          <cell r="B189" t="str">
            <v>111020800_Z1 - Ландшафт внутрирайонный</v>
          </cell>
          <cell r="C189" t="str">
            <v>111020000_Z1 Гостевая зона</v>
          </cell>
        </row>
        <row r="190">
          <cell r="B190" t="str">
            <v>111021000_Культурные объекты Z1</v>
          </cell>
          <cell r="C190" t="str">
            <v>111020000_Z1 Гостевая зона</v>
          </cell>
        </row>
        <row r="191">
          <cell r="B191" t="str">
            <v>111021100_Обзорная башня</v>
          </cell>
          <cell r="C191" t="str">
            <v>111020000_Z1 Гостевая зона</v>
          </cell>
        </row>
        <row r="192">
          <cell r="B192" t="str">
            <v>111021200_Торговля - Центральная площадь</v>
          </cell>
          <cell r="C192" t="str">
            <v>111020000_Z1 Гостевая зона</v>
          </cell>
        </row>
        <row r="193">
          <cell r="B193" t="str">
            <v>111021300_Переход-Галерея (Технопарк/Университет)</v>
          </cell>
          <cell r="C193" t="str">
            <v>111020000_Z1 Гостевая зона</v>
          </cell>
        </row>
        <row r="194">
          <cell r="B194" t="str">
            <v>111021400_Куб</v>
          </cell>
          <cell r="C194" t="str">
            <v>111020000_Z1 Гостевая зона</v>
          </cell>
        </row>
        <row r="195">
          <cell r="B195" t="str">
            <v>111030100_СИНТ</v>
          </cell>
          <cell r="C195" t="str">
            <v>111030000_D3 Университет</v>
          </cell>
        </row>
        <row r="196">
          <cell r="B196" t="str">
            <v>111030200_D3 - Земля для стр-ва за счет инвест.</v>
          </cell>
          <cell r="C196" t="str">
            <v>111030000_D3 Университет</v>
          </cell>
        </row>
        <row r="197">
          <cell r="B197" t="str">
            <v>111030300_D3 - Здания для исслед. и разраб. (R&amp;D)</v>
          </cell>
          <cell r="C197" t="str">
            <v>111030000_D3 Университет</v>
          </cell>
        </row>
        <row r="198">
          <cell r="B198" t="str">
            <v>111030400_D3 - Апартаменты</v>
          </cell>
          <cell r="C198" t="str">
            <v>111030000_D3 Университет</v>
          </cell>
        </row>
        <row r="199">
          <cell r="B199" t="str">
            <v>111030500_D3 - Торговля и услуги шаг. доступности</v>
          </cell>
          <cell r="C199" t="str">
            <v>111030000_D3 Университет</v>
          </cell>
        </row>
        <row r="200">
          <cell r="B200" t="str">
            <v>111030800_D3 - Семейный кампус</v>
          </cell>
          <cell r="C200" t="str">
            <v>111030000_D3 Университет</v>
          </cell>
        </row>
        <row r="201">
          <cell r="B201" t="str">
            <v>111030900_D3 - Ландшафт внутрирайонный</v>
          </cell>
          <cell r="C201" t="str">
            <v>111030000_D3 Университет</v>
          </cell>
        </row>
        <row r="202">
          <cell r="B202" t="str">
            <v>111040100_D1 - Земля для стр-ва за счет инвест.</v>
          </cell>
          <cell r="C202" t="str">
            <v>111040000_D1 Южный</v>
          </cell>
        </row>
        <row r="203">
          <cell r="B203" t="str">
            <v>111040200_D1 - Здания для исслед. и разраб. (R&amp;D)</v>
          </cell>
          <cell r="C203" t="str">
            <v>111040000_D1 Южный</v>
          </cell>
        </row>
        <row r="204">
          <cell r="B204" t="str">
            <v>111040300_D1 - Офис Фонда Сколково</v>
          </cell>
          <cell r="C204" t="str">
            <v>111040000_D1 Южный</v>
          </cell>
        </row>
        <row r="205">
          <cell r="B205" t="str">
            <v>111040400_D1 - Апартаменты</v>
          </cell>
          <cell r="C205" t="str">
            <v>111040000_D1 Южный</v>
          </cell>
        </row>
        <row r="206">
          <cell r="B206" t="str">
            <v>111040500_D1 - Торговля и услуги шаг. доступности</v>
          </cell>
          <cell r="C206" t="str">
            <v>111040000_D1 Южный</v>
          </cell>
        </row>
        <row r="207">
          <cell r="B207" t="str">
            <v>111040800_D1 - Семейный кампус</v>
          </cell>
          <cell r="C207" t="str">
            <v>111040000_D1 Южный</v>
          </cell>
        </row>
        <row r="208">
          <cell r="B208" t="str">
            <v>111040900_D1 - Ландшафт внутрирайонный</v>
          </cell>
          <cell r="C208" t="str">
            <v>111040000_D1 Южный</v>
          </cell>
        </row>
        <row r="209">
          <cell r="B209" t="str">
            <v>111041000_Старый Полет</v>
          </cell>
          <cell r="C209" t="str">
            <v>111040000_D1 Южный</v>
          </cell>
        </row>
        <row r="210">
          <cell r="B210" t="str">
            <v>111041100_Новый Полет</v>
          </cell>
          <cell r="C210" t="str">
            <v>111040000_D1 Южный</v>
          </cell>
        </row>
        <row r="211">
          <cell r="B211" t="str">
            <v>111041200_Тематический парк</v>
          </cell>
          <cell r="C211" t="str">
            <v>111040000_D1 Южный</v>
          </cell>
        </row>
        <row r="212">
          <cell r="B212" t="str">
            <v>111041300_Лесной Офис</v>
          </cell>
          <cell r="C212" t="str">
            <v>111040000_D1 Южный</v>
          </cell>
        </row>
        <row r="213">
          <cell r="B213" t="str">
            <v>111041400_Подсолнух</v>
          </cell>
          <cell r="C213" t="str">
            <v>111040000_D1 Южный</v>
          </cell>
        </row>
        <row r="214">
          <cell r="B214" t="str">
            <v>111050100_D4 - Земля для стр-ва за счет инвест.</v>
          </cell>
          <cell r="C214" t="str">
            <v>111050000_D4 Северный</v>
          </cell>
        </row>
        <row r="215">
          <cell r="B215" t="str">
            <v>111050200_D4 - Здания для исслед. и разраб. (R&amp;D)</v>
          </cell>
          <cell r="C215" t="str">
            <v>111050000_D4 Северный</v>
          </cell>
        </row>
        <row r="216">
          <cell r="B216" t="str">
            <v>111050300_D4 - Апартаменты</v>
          </cell>
          <cell r="C216" t="str">
            <v>111050000_D4 Северный</v>
          </cell>
        </row>
        <row r="217">
          <cell r="B217" t="str">
            <v>111050400_D4 - Торговля и услуги шаг. доступности</v>
          </cell>
          <cell r="C217" t="str">
            <v>111050000_D4 Северный</v>
          </cell>
        </row>
        <row r="218">
          <cell r="B218" t="str">
            <v>111050700_D4 - Семейный кампус</v>
          </cell>
          <cell r="C218" t="str">
            <v>111050000_D4 Северный</v>
          </cell>
        </row>
        <row r="219">
          <cell r="B219" t="str">
            <v>111050800_D4 - Ландшафт внутрирайонный</v>
          </cell>
          <cell r="C219" t="str">
            <v>111050000_D4 Северный</v>
          </cell>
        </row>
        <row r="220">
          <cell r="B220" t="str">
            <v>111060100_Ландшафт</v>
          </cell>
          <cell r="C220" t="str">
            <v>111060000_Z2 Ландшафтная зона (Парки)</v>
          </cell>
        </row>
        <row r="221">
          <cell r="B221" t="str">
            <v>111060200_Дендропарк</v>
          </cell>
          <cell r="C221" t="str">
            <v>111060000_Z2 Ландшафтная зона (Парки)</v>
          </cell>
        </row>
        <row r="222">
          <cell r="B222" t="str">
            <v>111060300_Парк уборочной техники</v>
          </cell>
          <cell r="C222" t="str">
            <v>111060000_Z2 Ландшафтная зона (Парки)</v>
          </cell>
        </row>
        <row r="223">
          <cell r="B223" t="str">
            <v xml:space="preserve">121010100_Теплоснабжение </v>
          </cell>
          <cell r="C223" t="str">
            <v>121010000_Инженерная инфраструктура</v>
          </cell>
        </row>
        <row r="224">
          <cell r="B224" t="str">
            <v>121010200_Мусороудаление</v>
          </cell>
          <cell r="C224" t="str">
            <v>121010000_Инженерная инфраструктура</v>
          </cell>
        </row>
        <row r="225">
          <cell r="B225" t="str">
            <v>121010300_Водоканал</v>
          </cell>
          <cell r="C225" t="str">
            <v>121010000_Инженерная инфраструктура</v>
          </cell>
        </row>
        <row r="226">
          <cell r="B226" t="str">
            <v>121010400_ИКТ Сети</v>
          </cell>
          <cell r="C226" t="str">
            <v>121010000_Инженерная инфраструктура</v>
          </cell>
        </row>
        <row r="227">
          <cell r="B227" t="str">
            <v>121010500_Холодоснабжение</v>
          </cell>
          <cell r="C227" t="str">
            <v>121010000_Инженерная инфраструктура</v>
          </cell>
        </row>
        <row r="228">
          <cell r="B228" t="str">
            <v>121010600_Электроснабжение</v>
          </cell>
          <cell r="C228" t="str">
            <v>121010000_Инженерная инфраструктура</v>
          </cell>
        </row>
        <row r="229">
          <cell r="B229" t="str">
            <v>121010700_Коммуникационный коллектор</v>
          </cell>
          <cell r="C229" t="str">
            <v>121010000_Инженерная инфраструктура</v>
          </cell>
        </row>
        <row r="230">
          <cell r="B230" t="str">
            <v>121010800_ЦУС (центр упр-ия инженерными системами)</v>
          </cell>
          <cell r="C230" t="str">
            <v>121010000_Инженерная инфраструктура</v>
          </cell>
        </row>
        <row r="231">
          <cell r="B231" t="str">
            <v>121020100_Проект Пешеход</v>
          </cell>
          <cell r="C231" t="str">
            <v>121020000_Транспортно-логистическая инфраструктура</v>
          </cell>
        </row>
        <row r="232">
          <cell r="B232" t="str">
            <v>121020200_Проект Велосипед</v>
          </cell>
          <cell r="C232" t="str">
            <v>121020000_Транспортно-логистическая инфраструктура</v>
          </cell>
        </row>
        <row r="233">
          <cell r="B233" t="str">
            <v>121020300_Проект Общественный транспорт</v>
          </cell>
          <cell r="C233" t="str">
            <v>121020000_Транспортно-логистическая инфраструктура</v>
          </cell>
        </row>
        <row r="234">
          <cell r="B234" t="str">
            <v>121020400_Проект Личный транспорт</v>
          </cell>
          <cell r="C234" t="str">
            <v>121020000_Транспортно-логистическая инфраструктура</v>
          </cell>
        </row>
        <row r="235">
          <cell r="B235" t="str">
            <v>121020500_Логистическая инфраструктура</v>
          </cell>
          <cell r="C235" t="str">
            <v>121020000_Транспортно-логистическая инфраструктура</v>
          </cell>
        </row>
        <row r="236">
          <cell r="B236" t="str">
            <v>121020600_Центр управления трансп.-логист. инф-рой</v>
          </cell>
          <cell r="C236" t="str">
            <v>121020000_Транспортно-логистическая инфраструктура</v>
          </cell>
        </row>
        <row r="237">
          <cell r="B237" t="str">
            <v>121020700_Паркинги и зарядные станции</v>
          </cell>
          <cell r="C237" t="str">
            <v>121020000_Транспортно-логистическая инфраструктура</v>
          </cell>
        </row>
        <row r="238">
          <cell r="B238" t="str">
            <v>121020800_Городская улично-дорожная сеть</v>
          </cell>
          <cell r="C238" t="str">
            <v>121020000_Транспортно-логистическая инфраструктура</v>
          </cell>
        </row>
        <row r="239">
          <cell r="B239" t="str">
            <v>131010100_Создание объед. центра операт. упр-ия УГ</v>
          </cell>
          <cell r="C239" t="str">
            <v>131010000_Умный город (S&amp;CC)</v>
          </cell>
        </row>
        <row r="240">
          <cell r="B240" t="str">
            <v>131010200_Создание "Виртуал. сервис-провайдера"</v>
          </cell>
          <cell r="C240" t="str">
            <v>131010000_Умный город (S&amp;CC)</v>
          </cell>
        </row>
        <row r="241">
          <cell r="B241" t="str">
            <v>131010300_Создание базовой ИКТ платформы</v>
          </cell>
          <cell r="C241" t="str">
            <v>131010000_Умный город (S&amp;CC)</v>
          </cell>
        </row>
        <row r="242">
          <cell r="B242" t="str">
            <v>131010400_ЦОД 1 и 2</v>
          </cell>
          <cell r="C242" t="str">
            <v>131010000_Умный город (S&amp;CC)</v>
          </cell>
        </row>
        <row r="243">
          <cell r="B243" t="str">
            <v>131020100_Обеспечение безоп-сти на время стр-ва</v>
          </cell>
          <cell r="C243" t="str">
            <v>131020000_Безопасность</v>
          </cell>
        </row>
        <row r="244">
          <cell r="B244" t="str">
            <v>131020200_Создание Системы комплекс. безоп-сти ИЦ</v>
          </cell>
          <cell r="C244" t="str">
            <v>131020000_Безопасность</v>
          </cell>
        </row>
        <row r="245">
          <cell r="B245" t="str">
            <v>151010100_Процессы строительного блока</v>
          </cell>
          <cell r="C245" t="str">
            <v>151010000_Процессы строительного блока</v>
          </cell>
        </row>
        <row r="246">
          <cell r="B246" t="str">
            <v>181010100_ПГСК</v>
          </cell>
          <cell r="C246" t="str">
            <v>181010000_Специальные программы</v>
          </cell>
        </row>
        <row r="247">
          <cell r="B247" t="str">
            <v>181010200_РСХА</v>
          </cell>
          <cell r="C247" t="str">
            <v>181010000_Специальные программы</v>
          </cell>
        </row>
        <row r="248">
          <cell r="B248" t="str">
            <v>191020100_Стандартизация</v>
          </cell>
          <cell r="C248" t="str">
            <v>191020000_Экспертиза и надзор</v>
          </cell>
        </row>
        <row r="249">
          <cell r="B249" t="str">
            <v>191020200_Экспертиза</v>
          </cell>
          <cell r="C249" t="str">
            <v>191020000_Экспертиза и надзор</v>
          </cell>
        </row>
        <row r="250">
          <cell r="B250" t="str">
            <v>191020300_Надзор</v>
          </cell>
          <cell r="C250" t="str">
            <v>191020000_Экспертиза и надзор</v>
          </cell>
        </row>
        <row r="251">
          <cell r="B251" t="str">
            <v>191030100_Градостроительная концепция</v>
          </cell>
          <cell r="C251" t="str">
            <v>191030000_Градостроительство</v>
          </cell>
        </row>
        <row r="252">
          <cell r="B252" t="str">
            <v>191030200_ГП</v>
          </cell>
          <cell r="C252" t="str">
            <v>191030000_Градостроительство</v>
          </cell>
        </row>
        <row r="253">
          <cell r="B253" t="str">
            <v>191030300_Эскизы застройки (М1:1000)</v>
          </cell>
          <cell r="C253" t="str">
            <v>191030000_Градостроительство</v>
          </cell>
        </row>
        <row r="254">
          <cell r="B254" t="str">
            <v>191030400_Тендер на ПП</v>
          </cell>
          <cell r="C254" t="str">
            <v>191030000_Градостроительство</v>
          </cell>
        </row>
        <row r="255">
          <cell r="B255" t="str">
            <v>191030500_ПП</v>
          </cell>
          <cell r="C255" t="str">
            <v>191030000_Градостроительство</v>
          </cell>
        </row>
        <row r="256">
          <cell r="B256" t="str">
            <v>191030600_ПЗЗ</v>
          </cell>
          <cell r="C256" t="str">
            <v>191030000_Градостроительство</v>
          </cell>
        </row>
        <row r="257">
          <cell r="B257" t="str">
            <v>191030700_ПМТ</v>
          </cell>
          <cell r="C257" t="str">
            <v>191030000_Градостроительство</v>
          </cell>
        </row>
        <row r="258">
          <cell r="B258" t="str">
            <v>191030800_ГПЗУ</v>
          </cell>
          <cell r="C258" t="str">
            <v>191030000_Градостроительство</v>
          </cell>
        </row>
        <row r="259">
          <cell r="B259" t="str">
            <v>191030900_Эскизы застройки  (М1:500)</v>
          </cell>
          <cell r="C259" t="str">
            <v>191030000_Градостроительство</v>
          </cell>
        </row>
        <row r="260">
          <cell r="B260" t="str">
            <v>191031000_Дизайн-код</v>
          </cell>
          <cell r="C260" t="str">
            <v>191030000_Градостроительство</v>
          </cell>
        </row>
        <row r="261">
          <cell r="B261" t="str">
            <v>191040100_Концепции и правила</v>
          </cell>
          <cell r="C261" t="str">
            <v>191040000_Планир-е и регулир-е развития территории</v>
          </cell>
        </row>
        <row r="262">
          <cell r="B262" t="str">
            <v>191040200_Планирование и контроль</v>
          </cell>
          <cell r="C262" t="str">
            <v>191040000_Планир-е и регулир-е развития территории</v>
          </cell>
        </row>
        <row r="263">
          <cell r="B263" t="str">
            <v>191050100_Имущественный банк</v>
          </cell>
          <cell r="C263" t="str">
            <v>191050000_Управление активами</v>
          </cell>
        </row>
        <row r="264">
          <cell r="B264" t="str">
            <v>191050200_ГИС (Геоинформационная система)</v>
          </cell>
          <cell r="C264" t="str">
            <v>191050000_Управление активами</v>
          </cell>
        </row>
        <row r="265">
          <cell r="B265" t="str">
            <v>191050300_Управление недвижимостью</v>
          </cell>
          <cell r="C265" t="str">
            <v>191050000_Управление активами</v>
          </cell>
        </row>
        <row r="266">
          <cell r="B266" t="str">
            <v>191050400_Система ТОиР</v>
          </cell>
          <cell r="C266" t="str">
            <v>191050000_Управление активами</v>
          </cell>
        </row>
        <row r="267">
          <cell r="B267" t="str">
            <v>191060100_Проект подготовки площадки</v>
          </cell>
          <cell r="C267" t="str">
            <v>191060000_Проект подготовки площадки</v>
          </cell>
        </row>
        <row r="268">
          <cell r="B268" t="str">
            <v>191070100_Средняя школа</v>
          </cell>
          <cell r="C268" t="str">
            <v>191070000_Социальная инфраструктура</v>
          </cell>
        </row>
        <row r="269">
          <cell r="B269" t="str">
            <v>191070200_Клиника</v>
          </cell>
          <cell r="C269" t="str">
            <v>191070000_Социальная инфраструктура</v>
          </cell>
        </row>
        <row r="270">
          <cell r="B270" t="str">
            <v>191070300_Сеть спортивных центров</v>
          </cell>
          <cell r="C270" t="str">
            <v>191070000_Социальная инфраструктура</v>
          </cell>
        </row>
        <row r="271">
          <cell r="B271" t="str">
            <v>191070400_Сети общественного питания</v>
          </cell>
          <cell r="C271" t="str">
            <v>191070000_Социальная инфраструктура</v>
          </cell>
        </row>
        <row r="272">
          <cell r="B272" t="str">
            <v>191070500_Торговые сети</v>
          </cell>
          <cell r="C272" t="str">
            <v>191070000_Социальная инфраструктура</v>
          </cell>
        </row>
        <row r="273">
          <cell r="B273" t="str">
            <v>191080100_Строительный документооборот</v>
          </cell>
          <cell r="C273" t="str">
            <v>191080000_ИТ системы управления строительством</v>
          </cell>
        </row>
        <row r="274">
          <cell r="B274" t="str">
            <v>191080200_Управление проектами</v>
          </cell>
          <cell r="C274" t="str">
            <v>191080000_ИТ системы управления строительством</v>
          </cell>
        </row>
        <row r="275">
          <cell r="B275" t="str">
            <v>991110102_D2 - Земля для стр-ва за счет инвест.</v>
          </cell>
          <cell r="C275" t="str">
            <v>999101000_Строительные проекты со-финансирование</v>
          </cell>
        </row>
        <row r="276">
          <cell r="B276" t="str">
            <v>991110103_D2 - Здания для исслед. и разраб. (R&amp;D)</v>
          </cell>
          <cell r="C276" t="str">
            <v>999101000_Строительные проекты со-финансирование</v>
          </cell>
        </row>
        <row r="277">
          <cell r="B277" t="str">
            <v>991110104_D2 - Апартаменты</v>
          </cell>
          <cell r="C277" t="str">
            <v>999101000_Строительные проекты со-финансирование</v>
          </cell>
        </row>
        <row r="278">
          <cell r="B278" t="str">
            <v>991110105_D2 - Торговля и услуги шаг. доступности</v>
          </cell>
          <cell r="C278" t="str">
            <v>999101000_Строительные проекты со-финансирование</v>
          </cell>
        </row>
        <row r="279">
          <cell r="B279" t="str">
            <v>991110108_D2 - Семейный кампус</v>
          </cell>
          <cell r="C279" t="str">
            <v>999101000_Строительные проекты со-финансирование</v>
          </cell>
        </row>
        <row r="280">
          <cell r="B280" t="str">
            <v>991110109_D2 - Ландшафт внутрирайонный</v>
          </cell>
          <cell r="C280" t="str">
            <v>999101000_Строительные проекты со-финансирование</v>
          </cell>
        </row>
        <row r="281">
          <cell r="B281" t="str">
            <v>991110201_Z1 - Гостиницы</v>
          </cell>
          <cell r="C281" t="str">
            <v>999101000_Строительные проекты со-финансирование</v>
          </cell>
        </row>
        <row r="282">
          <cell r="B282" t="str">
            <v>991110202_Многофункциональный переход</v>
          </cell>
          <cell r="C282" t="str">
            <v>999101000_Строительные проекты со-финансирование</v>
          </cell>
        </row>
        <row r="283">
          <cell r="B283" t="str">
            <v>991110205_Многофункц. комплекс (Большой Куб)</v>
          </cell>
          <cell r="C283" t="str">
            <v>999101000_Строительные проекты со-финансирование</v>
          </cell>
        </row>
        <row r="284">
          <cell r="B284" t="str">
            <v>991110207_Политех Сколково</v>
          </cell>
          <cell r="C284" t="str">
            <v>999101000_Строительные проекты со-финансирование</v>
          </cell>
        </row>
        <row r="285">
          <cell r="B285" t="str">
            <v>991110210_Культурные объекты Z1</v>
          </cell>
          <cell r="C285" t="str">
            <v>999101000_Строительные проекты со-финансирование</v>
          </cell>
        </row>
        <row r="286">
          <cell r="B286" t="str">
            <v>991110211_Обзорная башня</v>
          </cell>
          <cell r="C286" t="str">
            <v>999101000_Строительные проекты со-финансирование</v>
          </cell>
        </row>
        <row r="287">
          <cell r="B287" t="str">
            <v>991110212_Торговля - Центральная площадь</v>
          </cell>
          <cell r="C287" t="str">
            <v>999101000_Строительные проекты со-финансирование</v>
          </cell>
        </row>
        <row r="288">
          <cell r="B288" t="str">
            <v>991110302_D3 - Земля для стр-ва за счет инвест.</v>
          </cell>
          <cell r="C288" t="str">
            <v>999101000_Строительные проекты со-финансирование</v>
          </cell>
        </row>
        <row r="289">
          <cell r="B289" t="str">
            <v>991110303_D3 - Здания для исслед. и разраб. (R&amp;D)</v>
          </cell>
          <cell r="C289" t="str">
            <v>999101000_Строительные проекты со-финансирование</v>
          </cell>
        </row>
        <row r="290">
          <cell r="B290" t="str">
            <v>991110304_D3 - Апартаменты</v>
          </cell>
          <cell r="C290" t="str">
            <v>999101000_Строительные проекты со-финансирование</v>
          </cell>
        </row>
        <row r="291">
          <cell r="B291" t="str">
            <v>991110305_D3 - Торговля и услуги шаг. доступности</v>
          </cell>
          <cell r="C291" t="str">
            <v>999101000_Строительные проекты со-финансирование</v>
          </cell>
        </row>
        <row r="292">
          <cell r="B292" t="str">
            <v>991110309_D3 - Ландшафт внутрирайонный</v>
          </cell>
          <cell r="C292" t="str">
            <v>999101000_Строительные проекты со-финансирование</v>
          </cell>
        </row>
        <row r="293">
          <cell r="B293" t="str">
            <v>991110401_D1 - Земля для стр-ва за счет инвест.</v>
          </cell>
          <cell r="C293" t="str">
            <v>999101000_Строительные проекты со-финансирование</v>
          </cell>
        </row>
        <row r="294">
          <cell r="B294" t="str">
            <v>991110402_D1 - Здания для исслед. и разраб. (R&amp;D)</v>
          </cell>
          <cell r="C294" t="str">
            <v>999101000_Строительные проекты со-финансирование</v>
          </cell>
        </row>
        <row r="295">
          <cell r="B295" t="str">
            <v>991110404_D1 - Апартаменты</v>
          </cell>
          <cell r="C295" t="str">
            <v>999101000_Строительные проекты со-финансирование</v>
          </cell>
        </row>
        <row r="296">
          <cell r="B296" t="str">
            <v>991110405_D1 - Торговля и услуги шаг. доступности</v>
          </cell>
          <cell r="C296" t="str">
            <v>999101000_Строительные проекты со-финансирование</v>
          </cell>
        </row>
        <row r="297">
          <cell r="B297" t="str">
            <v>991110408_D1 - Семейный кампус</v>
          </cell>
          <cell r="C297" t="str">
            <v>999101000_Строительные проекты со-финансирование</v>
          </cell>
        </row>
        <row r="298">
          <cell r="B298" t="str">
            <v>991110409_D1 - Ландшафт внутрирайонный</v>
          </cell>
          <cell r="C298" t="str">
            <v>999101000_Строительные проекты со-финансирование</v>
          </cell>
        </row>
        <row r="299">
          <cell r="B299" t="str">
            <v>991110411_Новый Полет</v>
          </cell>
          <cell r="C299" t="str">
            <v>999101000_Строительные проекты со-финансирование</v>
          </cell>
        </row>
        <row r="300">
          <cell r="B300" t="str">
            <v>991110413_Лесной Офис</v>
          </cell>
          <cell r="C300" t="str">
            <v>999101000_Строительные проекты со-финансирование</v>
          </cell>
        </row>
        <row r="301">
          <cell r="B301" t="str">
            <v>991110414_Подсолнух</v>
          </cell>
          <cell r="C301" t="str">
            <v>999101000_Строительные проекты со-финансирование</v>
          </cell>
        </row>
        <row r="302">
          <cell r="B302" t="str">
            <v>991110501_D4 - Земля для стр-ва за счет инвест.</v>
          </cell>
          <cell r="C302" t="str">
            <v>999101000_Строительные проекты со-финансирование</v>
          </cell>
        </row>
        <row r="303">
          <cell r="B303" t="str">
            <v>991110502_D4 - Здания для исслед. и разраб. (R&amp;D)</v>
          </cell>
          <cell r="C303" t="str">
            <v>999101000_Строительные проекты со-финансирование</v>
          </cell>
        </row>
        <row r="304">
          <cell r="B304" t="str">
            <v>991110503_D4 - Апартаменты</v>
          </cell>
          <cell r="C304" t="str">
            <v>999101000_Строительные проекты со-финансирование</v>
          </cell>
        </row>
        <row r="305">
          <cell r="B305" t="str">
            <v>991110504_D4 - Торговля и услуги шаг. доступности</v>
          </cell>
          <cell r="C305" t="str">
            <v>999101000_Строительные проекты со-финансирование</v>
          </cell>
        </row>
        <row r="306">
          <cell r="B306" t="str">
            <v>991110507_D4 - Семейный кампус</v>
          </cell>
          <cell r="C306" t="str">
            <v>999101000_Строительные проекты со-финансирование</v>
          </cell>
        </row>
        <row r="307">
          <cell r="B307" t="str">
            <v>991110508_D4 - Ландшафт внутрирайонный</v>
          </cell>
          <cell r="C307" t="str">
            <v>999101000_Строительные проекты со-финансирование</v>
          </cell>
        </row>
        <row r="308">
          <cell r="B308" t="str">
            <v>991210104_ИКТ Сети</v>
          </cell>
          <cell r="C308" t="str">
            <v>999101000_Строительные проекты со-финансирование</v>
          </cell>
        </row>
        <row r="309">
          <cell r="B309" t="str">
            <v>991210108_ЦУС (центр упр-ия инженерными системами)</v>
          </cell>
          <cell r="C309" t="str">
            <v>999101000_Строительные проекты со-финансирование</v>
          </cell>
        </row>
        <row r="310">
          <cell r="B310" t="str">
            <v>991210206_Центр управления трансп.-логист. инф-рой</v>
          </cell>
          <cell r="C310" t="str">
            <v>999101000_Строительные проекты со-финансирование</v>
          </cell>
        </row>
        <row r="311">
          <cell r="B311" t="str">
            <v>411010100_Содержание офиса и офисные сервисы</v>
          </cell>
          <cell r="C311" t="str">
            <v>411010000_Офисная инфраструктура</v>
          </cell>
        </row>
        <row r="312">
          <cell r="B312" t="str">
            <v>421010100_Развитие ИТ инфраструктуры</v>
          </cell>
          <cell r="C312" t="str">
            <v>421010000_Развитие ИТ  инфраструктуры</v>
          </cell>
        </row>
        <row r="313">
          <cell r="B313" t="str">
            <v>421010200_Информационная безопасность</v>
          </cell>
        </row>
        <row r="314">
          <cell r="B314" t="str">
            <v>421020100_Поддержка и сопровождение ИТ инфр.</v>
          </cell>
          <cell r="C314" t="str">
            <v>421020000_Поддержание ИТ и телеком  инфраструктуры</v>
          </cell>
        </row>
        <row r="315">
          <cell r="B315" t="str">
            <v>421040100_СЭД</v>
          </cell>
          <cell r="C315" t="str">
            <v>421040000_ИТ системы управления</v>
          </cell>
        </row>
        <row r="316">
          <cell r="B316" t="str">
            <v>421040300_Планирование/бюджетирование</v>
          </cell>
          <cell r="C316" t="str">
            <v>421040000_ИТ системы управления</v>
          </cell>
        </row>
        <row r="317">
          <cell r="B317" t="str">
            <v>421040400_ERP (закупки/финансы)</v>
          </cell>
          <cell r="C317" t="str">
            <v>421040000_ИТ системы управления</v>
          </cell>
        </row>
        <row r="318">
          <cell r="B318" t="str">
            <v>497010100_Совет Фонда</v>
          </cell>
          <cell r="C318" t="str">
            <v>497010000_Корпоративные органы Управления</v>
          </cell>
        </row>
        <row r="319">
          <cell r="B319" t="str">
            <v>497010200_КНС</v>
          </cell>
          <cell r="C319" t="str">
            <v>497010000_Корпоративные органы Управления</v>
          </cell>
        </row>
        <row r="320">
          <cell r="B320" t="str">
            <v>497010300_Попечительский совет</v>
          </cell>
          <cell r="C320" t="str">
            <v>497010000_Корпоративные органы Управления</v>
          </cell>
        </row>
        <row r="321">
          <cell r="B321" t="str">
            <v>497010400_Грантовый комитет</v>
          </cell>
          <cell r="C321" t="str">
            <v>497010000_Корпоративные органы Управления</v>
          </cell>
        </row>
        <row r="322">
          <cell r="B322" t="str">
            <v>497010500_Тендерный комитет</v>
          </cell>
          <cell r="C322" t="str">
            <v>497010000_Корпоративные органы Управления</v>
          </cell>
        </row>
        <row r="323">
          <cell r="B323" t="str">
            <v>497010600_Градостроительный Совет</v>
          </cell>
          <cell r="C323" t="str">
            <v>497010000_Корпоративные органы Управления</v>
          </cell>
        </row>
        <row r="324">
          <cell r="B324" t="str">
            <v>497010700_Экспертный Совет ОТУС</v>
          </cell>
          <cell r="C324" t="str">
            <v>497010000_Корпоративные органы Управления</v>
          </cell>
        </row>
        <row r="325">
          <cell r="B325" t="str">
            <v>497010800_Индустриальный консультативный Совет</v>
          </cell>
          <cell r="C325" t="str">
            <v>497010000_Корпоративные органы Управления</v>
          </cell>
        </row>
        <row r="326">
          <cell r="B326" t="str">
            <v>497010900_Эксперт.-консультац. Совет "Умный город"</v>
          </cell>
          <cell r="C326" t="str">
            <v>497010000_Корпоративные органы Управления</v>
          </cell>
        </row>
        <row r="327">
          <cell r="B327" t="str">
            <v>499010100_Процессы подразделений и функций</v>
          </cell>
          <cell r="C327" t="str">
            <v>499010000_Процессы управления Фондом</v>
          </cell>
        </row>
        <row r="328">
          <cell r="B328" t="str">
            <v>499010200_Проект формир. эффект. закуп. среды</v>
          </cell>
          <cell r="C328" t="str">
            <v>499010000_Процессы управления Фондом</v>
          </cell>
        </row>
        <row r="329">
          <cell r="B329" t="str">
            <v>499010300_Стратегич. планир., бюджет. и анализ</v>
          </cell>
          <cell r="C329" t="str">
            <v>499010000_Процессы управления Фондом</v>
          </cell>
        </row>
        <row r="330">
          <cell r="B330" t="str">
            <v>499010400_Система процессов управления Фондом и ДО</v>
          </cell>
          <cell r="C330" t="str">
            <v>499010000_Процессы управления Фондом</v>
          </cell>
        </row>
        <row r="331">
          <cell r="B331" t="str">
            <v>499020100_Развитие системы работы с персоналом</v>
          </cell>
          <cell r="C331" t="str">
            <v>499020000_Система упр. персоналом и корп. комм-ции</v>
          </cell>
        </row>
        <row r="332">
          <cell r="B332" t="str">
            <v>499020200_Модель компетенции и оценки персонала</v>
          </cell>
          <cell r="C332" t="str">
            <v>499020000_Система упр. персоналом и корп. комм-ции</v>
          </cell>
        </row>
        <row r="333">
          <cell r="B333" t="str">
            <v>499020300_Корпоративные коммуникации</v>
          </cell>
          <cell r="C333" t="str">
            <v>499020000_Система упр. персоналом и корп. комм-ции</v>
          </cell>
        </row>
        <row r="334">
          <cell r="B334" t="str">
            <v>901010100_Бюджетное финансирование</v>
          </cell>
          <cell r="C334" t="str">
            <v>901010000_Бюджетное финансирование</v>
          </cell>
        </row>
        <row r="335">
          <cell r="B335" t="str">
            <v>901020100_Привлеченное финансирование</v>
          </cell>
          <cell r="C335" t="str">
            <v>901020000_Привлеченное финансирование</v>
          </cell>
        </row>
        <row r="336">
          <cell r="B336" t="str">
            <v>999111010_Технопарк  Сбербанка</v>
          </cell>
          <cell r="C336" t="str">
            <v>999101000_Строительные проекты со-финансирование</v>
          </cell>
        </row>
        <row r="337">
          <cell r="B337" t="str">
            <v>999111020_Объекты - Ренова</v>
          </cell>
          <cell r="C337" t="str">
            <v>999101000_Строительные проекты со-финансирование</v>
          </cell>
        </row>
        <row r="338">
          <cell r="B338" t="str">
            <v>999111030_Базовый элемент</v>
          </cell>
          <cell r="C338" t="str">
            <v>999101000_Строительные проекты со-финансирование</v>
          </cell>
        </row>
        <row r="339">
          <cell r="B339" t="str">
            <v>999111040_Эр-телеком</v>
          </cell>
          <cell r="C339" t="str">
            <v>999101000_Строительные проекты со-финансирование</v>
          </cell>
        </row>
        <row r="340">
          <cell r="B340" t="str">
            <v>999111050_Объедин. судостроительная компания (ОСК)</v>
          </cell>
          <cell r="C340" t="str">
            <v>999101000_Строительные проекты со-финансирование</v>
          </cell>
        </row>
        <row r="341">
          <cell r="B341" t="str">
            <v xml:space="preserve">999111060_Ru-com </v>
          </cell>
          <cell r="C341" t="str">
            <v>999101000_Строительные проекты со-финансирование</v>
          </cell>
        </row>
        <row r="342">
          <cell r="B342" t="str">
            <v>999121010_Внегородская Автодорожная инфраструктура</v>
          </cell>
          <cell r="C342" t="str">
            <v>999101000_Строительные проекты со-финансирование</v>
          </cell>
        </row>
        <row r="343">
          <cell r="B343" t="str">
            <v>999121020_Внегородская Железнодор. инфраструктура</v>
          </cell>
          <cell r="C343" t="str">
            <v>999101000_Строительные проекты со-финансирование</v>
          </cell>
        </row>
        <row r="344">
          <cell r="B344" t="str">
            <v>999121030_Другая внегород. трансп. инфраструктура</v>
          </cell>
          <cell r="C344" t="str">
            <v>999101000_Строительные проекты со-финансирование</v>
          </cell>
        </row>
        <row r="345">
          <cell r="B345" t="str">
            <v>999131010_Голов. сооруж. энергоснаб. ключ.партнер.</v>
          </cell>
          <cell r="C345" t="str">
            <v>999101000_Строительные проекты со-финансирование</v>
          </cell>
        </row>
        <row r="346">
          <cell r="B346" t="str">
            <v xml:space="preserve">999131020_Голов. соор. ключ.партнер.- Умный Город </v>
          </cell>
          <cell r="C346" t="str">
            <v>999101000_Строительные проекты со-финансирование</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2:J16"/>
  <sheetViews>
    <sheetView showGridLines="0" zoomScale="85" zoomScaleNormal="85" workbookViewId="0">
      <selection activeCell="G5" sqref="G5"/>
    </sheetView>
  </sheetViews>
  <sheetFormatPr defaultColWidth="9.109375" defaultRowHeight="15.6" x14ac:dyDescent="0.3"/>
  <cols>
    <col min="1" max="1" width="3.6640625" style="32" bestFit="1" customWidth="1"/>
    <col min="2" max="2" width="23.44140625" style="23" customWidth="1"/>
    <col min="3" max="5" width="26" style="20" customWidth="1"/>
    <col min="6" max="6" width="9.109375" style="20"/>
    <col min="7" max="7" width="19.109375" style="20" bestFit="1" customWidth="1"/>
    <col min="8" max="10" width="26" style="20" customWidth="1"/>
    <col min="11" max="16384" width="9.109375" style="20"/>
  </cols>
  <sheetData>
    <row r="2" spans="1:10" x14ac:dyDescent="0.3">
      <c r="A2" s="33"/>
    </row>
    <row r="3" spans="1:10" x14ac:dyDescent="0.3">
      <c r="A3" s="33"/>
    </row>
    <row r="4" spans="1:10" x14ac:dyDescent="0.3">
      <c r="A4" s="33"/>
    </row>
    <row r="5" spans="1:10" ht="32.25" customHeight="1" x14ac:dyDescent="0.3">
      <c r="A5" s="33"/>
    </row>
    <row r="6" spans="1:10" x14ac:dyDescent="0.3">
      <c r="A6" s="33"/>
    </row>
    <row r="7" spans="1:10" x14ac:dyDescent="0.3">
      <c r="A7" s="33"/>
      <c r="B7" s="20"/>
      <c r="D7" s="22"/>
      <c r="E7" s="22"/>
      <c r="G7" s="28"/>
      <c r="H7" s="28"/>
      <c r="I7" s="28"/>
      <c r="J7" s="28"/>
    </row>
    <row r="8" spans="1:10" x14ac:dyDescent="0.3">
      <c r="A8" s="33"/>
      <c r="B8" s="29"/>
      <c r="D8" s="22"/>
      <c r="E8" s="22"/>
      <c r="G8" s="28"/>
      <c r="H8" s="28"/>
      <c r="I8" s="28"/>
      <c r="J8" s="28"/>
    </row>
    <row r="9" spans="1:10" x14ac:dyDescent="0.3">
      <c r="A9" s="33"/>
      <c r="B9" s="30"/>
      <c r="C9" s="29"/>
      <c r="D9" s="24"/>
      <c r="E9" s="24"/>
      <c r="F9" s="25"/>
      <c r="G9" s="27"/>
      <c r="H9" s="27"/>
      <c r="I9" s="27"/>
      <c r="J9" s="27"/>
    </row>
    <row r="10" spans="1:10" x14ac:dyDescent="0.3">
      <c r="A10" s="33"/>
      <c r="B10" s="19"/>
      <c r="G10" s="28"/>
      <c r="H10" s="28"/>
      <c r="I10" s="28"/>
      <c r="J10" s="28"/>
    </row>
    <row r="11" spans="1:10" x14ac:dyDescent="0.3">
      <c r="A11" s="33"/>
      <c r="B11" s="19"/>
      <c r="G11" s="31"/>
      <c r="H11" s="31"/>
      <c r="I11" s="31"/>
      <c r="J11" s="31"/>
    </row>
    <row r="12" spans="1:10" x14ac:dyDescent="0.3">
      <c r="A12" s="33"/>
      <c r="B12" s="19"/>
      <c r="G12" s="31"/>
      <c r="H12" s="31"/>
      <c r="I12" s="31"/>
      <c r="J12" s="31"/>
    </row>
    <row r="13" spans="1:10" ht="31.5" hidden="1" customHeight="1" x14ac:dyDescent="0.3">
      <c r="A13" s="33"/>
      <c r="B13" s="161" t="s">
        <v>173</v>
      </c>
      <c r="C13" s="161"/>
      <c r="D13" s="161"/>
      <c r="E13" s="161"/>
      <c r="G13" s="161" t="s">
        <v>191</v>
      </c>
      <c r="H13" s="161"/>
      <c r="I13" s="161"/>
      <c r="J13" s="161"/>
    </row>
    <row r="14" spans="1:10" hidden="1" x14ac:dyDescent="0.3">
      <c r="A14" s="33"/>
      <c r="B14" s="161" t="s">
        <v>192</v>
      </c>
      <c r="C14" s="161"/>
      <c r="D14" s="161"/>
      <c r="E14" s="161"/>
      <c r="G14" s="161" t="s">
        <v>193</v>
      </c>
      <c r="H14" s="161"/>
      <c r="I14" s="161"/>
      <c r="J14" s="161"/>
    </row>
    <row r="15" spans="1:10" x14ac:dyDescent="0.3">
      <c r="A15" s="33"/>
      <c r="B15" s="20"/>
      <c r="D15" s="22"/>
      <c r="E15" s="22"/>
    </row>
    <row r="16" spans="1:10" x14ac:dyDescent="0.3">
      <c r="A16" s="33"/>
    </row>
  </sheetData>
  <mergeCells count="4">
    <mergeCell ref="B13:E13"/>
    <mergeCell ref="G13:J13"/>
    <mergeCell ref="G14:J14"/>
    <mergeCell ref="B14:E14"/>
  </mergeCells>
  <pageMargins left="0.70866141732283472" right="0.70866141732283472" top="0.74803149606299213" bottom="0.74803149606299213" header="0.31496062992125984" footer="0.31496062992125984"/>
  <pageSetup paperSize="8" scale="60" orientation="portrait" horizontalDpi="4294967295" verticalDpi="4294967295"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J10"/>
  <sheetViews>
    <sheetView zoomScale="76" zoomScaleNormal="76" workbookViewId="0">
      <selection activeCell="C6" sqref="C6"/>
    </sheetView>
  </sheetViews>
  <sheetFormatPr defaultColWidth="9.109375" defaultRowHeight="13.8" x14ac:dyDescent="0.25"/>
  <cols>
    <col min="1" max="1" width="9.109375" style="40"/>
    <col min="2" max="2" width="37.44140625" style="40" customWidth="1"/>
    <col min="3" max="3" width="8.88671875" style="40" customWidth="1"/>
    <col min="4" max="4" width="8.6640625" style="40" customWidth="1"/>
    <col min="5" max="5" width="7.88671875" style="40" customWidth="1"/>
    <col min="6" max="16384" width="9.109375" style="40"/>
  </cols>
  <sheetData>
    <row r="1" spans="2:10" ht="14.4" thickBot="1" x14ac:dyDescent="0.3"/>
    <row r="2" spans="2:10" ht="28.5" customHeight="1" thickBot="1" x14ac:dyDescent="0.3">
      <c r="B2" s="162" t="s">
        <v>736</v>
      </c>
      <c r="C2" s="163"/>
      <c r="D2" s="163"/>
      <c r="E2" s="163"/>
      <c r="F2" s="163"/>
      <c r="G2" s="163"/>
      <c r="H2" s="163"/>
      <c r="I2" s="164"/>
    </row>
    <row r="3" spans="2:10" x14ac:dyDescent="0.25">
      <c r="B3" s="41"/>
      <c r="C3" s="41"/>
      <c r="D3" s="41"/>
      <c r="E3" s="41"/>
      <c r="F3" s="41"/>
      <c r="G3" s="41"/>
      <c r="H3" s="41"/>
      <c r="I3" s="41"/>
    </row>
    <row r="4" spans="2:10" ht="14.4" thickBot="1" x14ac:dyDescent="0.3">
      <c r="B4" s="41"/>
      <c r="C4" s="41"/>
      <c r="D4" s="41"/>
      <c r="E4" s="41"/>
      <c r="F4" s="41"/>
      <c r="G4" s="41"/>
      <c r="H4" s="41"/>
      <c r="I4" s="41"/>
    </row>
    <row r="5" spans="2:10" ht="28.2" thickBot="1" x14ac:dyDescent="0.3">
      <c r="B5" s="55" t="s">
        <v>728</v>
      </c>
      <c r="C5" s="56" t="s">
        <v>735</v>
      </c>
      <c r="D5" s="56" t="s">
        <v>733</v>
      </c>
      <c r="E5" s="56" t="s">
        <v>723</v>
      </c>
      <c r="F5" s="56" t="s">
        <v>724</v>
      </c>
      <c r="G5" s="56" t="s">
        <v>725</v>
      </c>
      <c r="H5" s="56" t="s">
        <v>726</v>
      </c>
      <c r="I5" s="57" t="s">
        <v>160</v>
      </c>
    </row>
    <row r="6" spans="2:10" x14ac:dyDescent="0.25">
      <c r="B6" s="60" t="s">
        <v>738</v>
      </c>
      <c r="C6" s="50">
        <v>100</v>
      </c>
      <c r="D6" s="50">
        <v>100</v>
      </c>
      <c r="E6" s="50">
        <v>100</v>
      </c>
      <c r="F6" s="50">
        <v>100</v>
      </c>
      <c r="G6" s="51"/>
      <c r="H6" s="51"/>
      <c r="I6" s="52">
        <f>SUM(C6:H6)</f>
        <v>400</v>
      </c>
    </row>
    <row r="7" spans="2:10" x14ac:dyDescent="0.25">
      <c r="B7" s="61" t="s">
        <v>729</v>
      </c>
      <c r="C7" s="48">
        <v>50</v>
      </c>
      <c r="D7" s="48">
        <v>50</v>
      </c>
      <c r="E7" s="48">
        <v>50</v>
      </c>
      <c r="F7" s="48">
        <v>50</v>
      </c>
      <c r="G7" s="49"/>
      <c r="H7" s="49"/>
      <c r="I7" s="52">
        <f t="shared" ref="I7:I8" si="0">SUM(C7:H7)</f>
        <v>200</v>
      </c>
      <c r="J7" s="40" t="s">
        <v>737</v>
      </c>
    </row>
    <row r="8" spans="2:10" ht="14.4" thickBot="1" x14ac:dyDescent="0.3">
      <c r="B8" s="62" t="s">
        <v>734</v>
      </c>
      <c r="C8" s="53"/>
      <c r="D8" s="53"/>
      <c r="E8" s="54"/>
      <c r="F8" s="54"/>
      <c r="G8" s="54"/>
      <c r="H8" s="54"/>
      <c r="I8" s="52">
        <f t="shared" si="0"/>
        <v>0</v>
      </c>
    </row>
    <row r="9" spans="2:10" ht="14.4" thickBot="1" x14ac:dyDescent="0.3">
      <c r="B9" s="55" t="s">
        <v>160</v>
      </c>
      <c r="C9" s="58">
        <f>SUM(C6:C8)</f>
        <v>150</v>
      </c>
      <c r="D9" s="58">
        <f t="shared" ref="D9:H9" si="1">SUM(D6:D8)</f>
        <v>150</v>
      </c>
      <c r="E9" s="58">
        <f t="shared" si="1"/>
        <v>150</v>
      </c>
      <c r="F9" s="58">
        <f t="shared" si="1"/>
        <v>150</v>
      </c>
      <c r="G9" s="58">
        <f t="shared" si="1"/>
        <v>0</v>
      </c>
      <c r="H9" s="58">
        <f t="shared" si="1"/>
        <v>0</v>
      </c>
      <c r="I9" s="59">
        <f>SUM(C9:H9)</f>
        <v>600</v>
      </c>
    </row>
    <row r="10" spans="2:10" x14ac:dyDescent="0.25">
      <c r="B10" s="42"/>
      <c r="C10" s="42"/>
      <c r="D10" s="42"/>
      <c r="E10" s="42"/>
      <c r="F10" s="42"/>
      <c r="G10" s="42"/>
      <c r="H10" s="42"/>
      <c r="I10" s="42"/>
    </row>
  </sheetData>
  <mergeCells count="1">
    <mergeCell ref="B2:I2"/>
  </mergeCells>
  <pageMargins left="0.7" right="0.7" top="0.75" bottom="0.75" header="0.3" footer="0.3"/>
  <pageSetup paperSize="9" orientation="portrait" horizontalDpi="4294967295" verticalDpi="4294967295"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technical!$A$81:$A$84</xm:f>
          </x14:formula1>
          <xm:sqref>E5:H5</xm:sqref>
        </x14:dataValidation>
        <x14:dataValidation type="list" allowBlank="1" showInputMessage="1" showErrorMessage="1">
          <x14:formula1>
            <xm:f>technical!$C$60:$C$75</xm:f>
          </x14:formula1>
          <xm:sqref>B6:B8</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16"/>
  <sheetViews>
    <sheetView zoomScale="80" zoomScaleNormal="80" workbookViewId="0">
      <pane ySplit="1" topLeftCell="A2" activePane="bottomLeft" state="frozen"/>
      <selection pane="bottomLeft"/>
    </sheetView>
  </sheetViews>
  <sheetFormatPr defaultColWidth="9.109375" defaultRowHeight="13.8" x14ac:dyDescent="0.25"/>
  <cols>
    <col min="1" max="2" width="12.109375" style="107" customWidth="1"/>
    <col min="3" max="3" width="8.5546875" style="107" customWidth="1"/>
    <col min="4" max="9" width="15" style="107" customWidth="1"/>
    <col min="10" max="10" width="10.33203125" style="107" customWidth="1"/>
    <col min="11" max="11" width="9.88671875" style="107" customWidth="1"/>
    <col min="12" max="12" width="12.88671875" style="107" customWidth="1"/>
    <col min="13" max="13" width="10.33203125" style="107" customWidth="1"/>
    <col min="14" max="14" width="10.88671875" style="107" customWidth="1"/>
    <col min="15" max="22" width="15" style="107" customWidth="1"/>
    <col min="23" max="24" width="13.109375" style="107" customWidth="1"/>
    <col min="25" max="26" width="15" style="107" customWidth="1"/>
    <col min="27" max="16384" width="9.109375" style="107"/>
  </cols>
  <sheetData>
    <row r="1" spans="1:26" ht="41.4" x14ac:dyDescent="0.25">
      <c r="A1" s="104" t="s">
        <v>760</v>
      </c>
      <c r="B1" s="104" t="s">
        <v>761</v>
      </c>
      <c r="C1" s="104" t="s">
        <v>762</v>
      </c>
      <c r="D1" s="104" t="s">
        <v>763</v>
      </c>
      <c r="E1" s="104" t="s">
        <v>764</v>
      </c>
      <c r="F1" s="104" t="s">
        <v>765</v>
      </c>
      <c r="G1" s="104" t="s">
        <v>766</v>
      </c>
      <c r="H1" s="105" t="s">
        <v>767</v>
      </c>
      <c r="I1" s="104" t="s">
        <v>768</v>
      </c>
      <c r="J1" s="106" t="s">
        <v>769</v>
      </c>
      <c r="K1" s="104" t="s">
        <v>770</v>
      </c>
      <c r="L1" s="104" t="s">
        <v>771</v>
      </c>
      <c r="M1" s="104" t="s">
        <v>772</v>
      </c>
      <c r="N1" s="104" t="s">
        <v>773</v>
      </c>
      <c r="O1" s="106" t="s">
        <v>774</v>
      </c>
      <c r="P1" s="104" t="s">
        <v>775</v>
      </c>
      <c r="Q1" s="106" t="s">
        <v>776</v>
      </c>
      <c r="R1" s="106" t="s">
        <v>777</v>
      </c>
      <c r="S1" s="106" t="s">
        <v>778</v>
      </c>
      <c r="T1" s="106" t="s">
        <v>779</v>
      </c>
      <c r="U1" s="104" t="s">
        <v>780</v>
      </c>
      <c r="V1" s="104" t="s">
        <v>781</v>
      </c>
      <c r="W1" s="104" t="s">
        <v>782</v>
      </c>
      <c r="X1" s="104" t="s">
        <v>783</v>
      </c>
      <c r="Y1" s="104" t="s">
        <v>784</v>
      </c>
      <c r="Z1" s="104" t="s">
        <v>785</v>
      </c>
    </row>
    <row r="2" spans="1:26" x14ac:dyDescent="0.25">
      <c r="A2" s="108" t="e">
        <f>#REF!</f>
        <v>#REF!</v>
      </c>
      <c r="B2" s="108" t="e">
        <f>#REF!</f>
        <v>#REF!</v>
      </c>
      <c r="C2" s="109" t="e">
        <f>#REF!</f>
        <v>#REF!</v>
      </c>
      <c r="D2" s="109"/>
      <c r="E2" s="110" t="e">
        <f>#REF!</f>
        <v>#REF!</v>
      </c>
      <c r="F2" s="109" t="e">
        <f>#REF!</f>
        <v>#REF!</v>
      </c>
      <c r="G2" s="109" t="e">
        <f>#REF!</f>
        <v>#REF!</v>
      </c>
      <c r="H2" s="111" t="e">
        <f>(B2-A2)/(365/12)</f>
        <v>#REF!</v>
      </c>
      <c r="I2" s="110" t="e">
        <f>(SUM(E2:G2)*H2)*C2</f>
        <v>#REF!</v>
      </c>
      <c r="J2" s="110" t="e">
        <f>#REF!</f>
        <v>#REF!</v>
      </c>
      <c r="K2" s="110" t="e">
        <f>IF(J2=28,7/3*H2*C2,14/3*H2*C2)</f>
        <v>#REF!</v>
      </c>
      <c r="L2" s="110" t="e">
        <f>K2*(E2+F2+G2)/30.2</f>
        <v>#REF!</v>
      </c>
      <c r="M2" s="110" t="e">
        <f>#REF!/12*H2</f>
        <v>#REF!</v>
      </c>
      <c r="N2" s="110" t="e">
        <f>#REF!/12*H2</f>
        <v>#REF!</v>
      </c>
      <c r="O2" s="110" t="e">
        <f>#REF!</f>
        <v>#REF!</v>
      </c>
      <c r="P2" s="110" t="e">
        <f>M2+N2</f>
        <v>#REF!</v>
      </c>
      <c r="Q2" s="112" t="e">
        <f>#REF!</f>
        <v>#REF!</v>
      </c>
      <c r="R2" s="112" t="e">
        <f>#REF!</f>
        <v>#REF!</v>
      </c>
      <c r="S2" s="112" t="e">
        <f>#REF!</f>
        <v>#REF!</v>
      </c>
      <c r="T2" s="112" t="e">
        <f>#REF!</f>
        <v>#REF!</v>
      </c>
      <c r="U2" s="110" t="e">
        <f>Q2+R2+S2+T2</f>
        <v>#REF!</v>
      </c>
      <c r="V2" s="110" t="e">
        <f>I2+L2+U2</f>
        <v>#REF!</v>
      </c>
      <c r="W2" s="110" t="e">
        <f>IF(O2="No",IF(V2&gt;1465000,966000*30.2%+499000*27.3%+(V2-1465000)*15.3%,IF(V2&gt;966000,966000*30.2%+(V2-966000)*27.3%,V2*30.2%)),V2*0.2%)</f>
        <v>#REF!</v>
      </c>
      <c r="X2" s="110" t="e">
        <f>P2+U2+W2</f>
        <v>#REF!</v>
      </c>
      <c r="Y2" s="113" t="e">
        <f>X2/I2</f>
        <v>#REF!</v>
      </c>
      <c r="Z2" s="114" t="e">
        <f>I2+U2+P2+L2+W2</f>
        <v>#REF!</v>
      </c>
    </row>
    <row r="3" spans="1:26" s="116" customFormat="1" x14ac:dyDescent="0.25">
      <c r="A3" s="108"/>
      <c r="B3" s="108"/>
      <c r="C3" s="109"/>
      <c r="D3" s="109"/>
      <c r="E3" s="110"/>
      <c r="F3" s="109"/>
      <c r="G3" s="109"/>
      <c r="H3" s="115"/>
      <c r="I3" s="110"/>
      <c r="J3" s="110"/>
      <c r="K3" s="110">
        <f t="shared" ref="K3" si="0">IF(J3=28,7/3*H3*C3,14/3*H3*C3)</f>
        <v>0</v>
      </c>
      <c r="L3" s="110">
        <f t="shared" ref="L3:L9" si="1">K3*(E3+F3+G3)/30.2</f>
        <v>0</v>
      </c>
      <c r="M3" s="110"/>
      <c r="N3" s="110"/>
      <c r="O3" s="110"/>
      <c r="P3" s="110"/>
      <c r="Q3" s="110"/>
      <c r="R3" s="110"/>
      <c r="S3" s="110"/>
      <c r="T3" s="110"/>
      <c r="U3" s="110"/>
      <c r="V3" s="110">
        <f t="shared" ref="V3:V9" si="2">I3+L3+U3</f>
        <v>0</v>
      </c>
      <c r="W3" s="110">
        <f t="shared" ref="W3:W9" si="3">IF(O3="No",IF(V3&gt;1465000,966000*30.2%+499000*27.3%+(V3-1465000)*15.3%,IF(V3&gt;966000,966000*30.2%+(V3-966000)*27.3%,V3*30.2%)),V3*0.2%)</f>
        <v>0</v>
      </c>
      <c r="X3" s="110">
        <f t="shared" ref="X3:X8" si="4">P3+U3+W3</f>
        <v>0</v>
      </c>
      <c r="Y3" s="113"/>
      <c r="Z3" s="110"/>
    </row>
    <row r="4" spans="1:26" s="116" customFormat="1" x14ac:dyDescent="0.25">
      <c r="A4" s="108" t="e">
        <f>#REF!</f>
        <v>#REF!</v>
      </c>
      <c r="B4" s="108" t="e">
        <f>#REF!</f>
        <v>#REF!</v>
      </c>
      <c r="C4" s="109" t="e">
        <f>#REF!</f>
        <v>#REF!</v>
      </c>
      <c r="D4" s="110" t="e">
        <f>(Z4-Q4-R4-S4-T4)/H4</f>
        <v>#REF!</v>
      </c>
      <c r="E4" s="110"/>
      <c r="F4" s="109"/>
      <c r="G4" s="109"/>
      <c r="H4" s="115" t="e">
        <f t="shared" ref="H4:H9" si="5">(B4-A4)/(365/12)</f>
        <v>#REF!</v>
      </c>
      <c r="I4" s="110" t="e">
        <f>(SUM(E4:G4)*H4)*C4</f>
        <v>#REF!</v>
      </c>
      <c r="J4" s="110" t="e">
        <f>#REF!</f>
        <v>#REF!</v>
      </c>
      <c r="K4" s="110" t="e">
        <f>IF(J4=28,7/3*H4*C4,14/3*H4*C4)</f>
        <v>#REF!</v>
      </c>
      <c r="L4" s="110" t="e">
        <f t="shared" si="1"/>
        <v>#REF!</v>
      </c>
      <c r="M4" s="117" t="e">
        <f>#REF!/12*H4</f>
        <v>#REF!</v>
      </c>
      <c r="N4" s="117" t="e">
        <f>#REF!/H4*12</f>
        <v>#REF!</v>
      </c>
      <c r="O4" s="117" t="e">
        <f>#REF!</f>
        <v>#REF!</v>
      </c>
      <c r="P4" s="117" t="e">
        <f>M4+N4</f>
        <v>#REF!</v>
      </c>
      <c r="Q4" s="112" t="e">
        <f>#REF!</f>
        <v>#REF!</v>
      </c>
      <c r="R4" s="112" t="e">
        <f>#REF!</f>
        <v>#REF!</v>
      </c>
      <c r="S4" s="112" t="e">
        <f>#REF!</f>
        <v>#REF!</v>
      </c>
      <c r="T4" s="112" t="e">
        <f>#REF!</f>
        <v>#REF!</v>
      </c>
      <c r="U4" s="110" t="e">
        <f>Q4+R4+S4+T4</f>
        <v>#REF!</v>
      </c>
      <c r="V4" s="110" t="e">
        <f t="shared" si="2"/>
        <v>#REF!</v>
      </c>
      <c r="W4" s="110" t="e">
        <f t="shared" si="3"/>
        <v>#REF!</v>
      </c>
      <c r="X4" s="110"/>
      <c r="Y4" s="113"/>
      <c r="Z4" s="112" t="e">
        <f>#REF!</f>
        <v>#REF!</v>
      </c>
    </row>
    <row r="5" spans="1:26" s="123" customFormat="1" x14ac:dyDescent="0.25">
      <c r="A5" s="118" t="e">
        <f>A4</f>
        <v>#REF!</v>
      </c>
      <c r="B5" s="118" t="e">
        <f>B4</f>
        <v>#REF!</v>
      </c>
      <c r="C5" s="119" t="e">
        <f>C4</f>
        <v>#REF!</v>
      </c>
      <c r="D5" s="120" t="e">
        <f>Z4/Z5</f>
        <v>#REF!</v>
      </c>
      <c r="E5" s="117" t="e">
        <f>D4</f>
        <v>#REF!</v>
      </c>
      <c r="F5" s="119"/>
      <c r="G5" s="119"/>
      <c r="H5" s="121" t="e">
        <f t="shared" si="5"/>
        <v>#REF!</v>
      </c>
      <c r="I5" s="122" t="e">
        <f t="shared" ref="I5:I9" si="6">(SUM(E5:G5)*H5)*C5</f>
        <v>#REF!</v>
      </c>
      <c r="J5" s="117" t="e">
        <f>J4</f>
        <v>#REF!</v>
      </c>
      <c r="K5" s="110" t="e">
        <f t="shared" ref="K5:K9" si="7">IF(J5=28,7/3*H5*C5,14/3*H5*C5)</f>
        <v>#REF!</v>
      </c>
      <c r="L5" s="110" t="e">
        <f t="shared" si="1"/>
        <v>#REF!</v>
      </c>
      <c r="M5" s="117" t="e">
        <f>M4</f>
        <v>#REF!</v>
      </c>
      <c r="N5" s="117" t="e">
        <f>N4</f>
        <v>#REF!</v>
      </c>
      <c r="O5" s="117" t="e">
        <f>O4</f>
        <v>#REF!</v>
      </c>
      <c r="P5" s="117" t="e">
        <f>P4</f>
        <v>#REF!</v>
      </c>
      <c r="Q5" s="117" t="e">
        <f>Q4</f>
        <v>#REF!</v>
      </c>
      <c r="R5" s="117" t="e">
        <f t="shared" ref="R5:T9" si="8">R4</f>
        <v>#REF!</v>
      </c>
      <c r="S5" s="117" t="e">
        <f t="shared" si="8"/>
        <v>#REF!</v>
      </c>
      <c r="T5" s="117" t="e">
        <f>T4</f>
        <v>#REF!</v>
      </c>
      <c r="U5" s="110" t="e">
        <f t="shared" ref="U5:U9" si="9">Q5+R5+S5+T5</f>
        <v>#REF!</v>
      </c>
      <c r="V5" s="110" t="e">
        <f t="shared" si="2"/>
        <v>#REF!</v>
      </c>
      <c r="W5" s="110" t="e">
        <f t="shared" si="3"/>
        <v>#REF!</v>
      </c>
      <c r="X5" s="110" t="e">
        <f t="shared" si="4"/>
        <v>#REF!</v>
      </c>
      <c r="Y5" s="113" t="e">
        <f t="shared" ref="Y5:Y9" si="10">X5/I5</f>
        <v>#REF!</v>
      </c>
      <c r="Z5" s="117" t="e">
        <f>I5+U5+P5+L5+W5</f>
        <v>#REF!</v>
      </c>
    </row>
    <row r="6" spans="1:26" s="123" customFormat="1" x14ac:dyDescent="0.25">
      <c r="A6" s="118" t="e">
        <f t="shared" ref="A6:C9" si="11">A5</f>
        <v>#REF!</v>
      </c>
      <c r="B6" s="118" t="e">
        <f t="shared" si="11"/>
        <v>#REF!</v>
      </c>
      <c r="C6" s="119" t="e">
        <f t="shared" si="11"/>
        <v>#REF!</v>
      </c>
      <c r="D6" s="120" t="e">
        <f>Z4/Z6</f>
        <v>#REF!</v>
      </c>
      <c r="E6" s="117" t="e">
        <f>E5*D5</f>
        <v>#REF!</v>
      </c>
      <c r="F6" s="119"/>
      <c r="G6" s="119"/>
      <c r="H6" s="121" t="e">
        <f t="shared" si="5"/>
        <v>#REF!</v>
      </c>
      <c r="I6" s="122" t="e">
        <f t="shared" si="6"/>
        <v>#REF!</v>
      </c>
      <c r="J6" s="117" t="e">
        <f t="shared" ref="J6:J9" si="12">J5</f>
        <v>#REF!</v>
      </c>
      <c r="K6" s="110" t="e">
        <f t="shared" si="7"/>
        <v>#REF!</v>
      </c>
      <c r="L6" s="110" t="e">
        <f t="shared" si="1"/>
        <v>#REF!</v>
      </c>
      <c r="M6" s="117" t="e">
        <f t="shared" ref="M6:Q9" si="13">M5</f>
        <v>#REF!</v>
      </c>
      <c r="N6" s="117" t="e">
        <f t="shared" si="13"/>
        <v>#REF!</v>
      </c>
      <c r="O6" s="117" t="e">
        <f t="shared" si="13"/>
        <v>#REF!</v>
      </c>
      <c r="P6" s="117" t="e">
        <f t="shared" si="13"/>
        <v>#REF!</v>
      </c>
      <c r="Q6" s="117" t="e">
        <f t="shared" si="13"/>
        <v>#REF!</v>
      </c>
      <c r="R6" s="117" t="e">
        <f t="shared" si="8"/>
        <v>#REF!</v>
      </c>
      <c r="S6" s="117" t="e">
        <f t="shared" si="8"/>
        <v>#REF!</v>
      </c>
      <c r="T6" s="117" t="e">
        <f t="shared" si="8"/>
        <v>#REF!</v>
      </c>
      <c r="U6" s="110" t="e">
        <f t="shared" si="9"/>
        <v>#REF!</v>
      </c>
      <c r="V6" s="110" t="e">
        <f t="shared" si="2"/>
        <v>#REF!</v>
      </c>
      <c r="W6" s="110" t="e">
        <f t="shared" si="3"/>
        <v>#REF!</v>
      </c>
      <c r="X6" s="110" t="e">
        <f t="shared" si="4"/>
        <v>#REF!</v>
      </c>
      <c r="Y6" s="113" t="e">
        <f t="shared" si="10"/>
        <v>#REF!</v>
      </c>
      <c r="Z6" s="117" t="e">
        <f t="shared" ref="Z6:Z9" si="14">I6+U6+P6+L6+W6</f>
        <v>#REF!</v>
      </c>
    </row>
    <row r="7" spans="1:26" s="123" customFormat="1" x14ac:dyDescent="0.25">
      <c r="A7" s="118" t="e">
        <f t="shared" si="11"/>
        <v>#REF!</v>
      </c>
      <c r="B7" s="118" t="e">
        <f t="shared" si="11"/>
        <v>#REF!</v>
      </c>
      <c r="C7" s="119" t="e">
        <f t="shared" si="11"/>
        <v>#REF!</v>
      </c>
      <c r="D7" s="120" t="e">
        <f>Z4/Z7</f>
        <v>#REF!</v>
      </c>
      <c r="E7" s="117" t="e">
        <f>E6*D6</f>
        <v>#REF!</v>
      </c>
      <c r="F7" s="119"/>
      <c r="G7" s="119"/>
      <c r="H7" s="121" t="e">
        <f t="shared" si="5"/>
        <v>#REF!</v>
      </c>
      <c r="I7" s="122" t="e">
        <f t="shared" si="6"/>
        <v>#REF!</v>
      </c>
      <c r="J7" s="117" t="e">
        <f t="shared" si="12"/>
        <v>#REF!</v>
      </c>
      <c r="K7" s="110" t="e">
        <f t="shared" si="7"/>
        <v>#REF!</v>
      </c>
      <c r="L7" s="110" t="e">
        <f t="shared" si="1"/>
        <v>#REF!</v>
      </c>
      <c r="M7" s="117" t="e">
        <f t="shared" si="13"/>
        <v>#REF!</v>
      </c>
      <c r="N7" s="117" t="e">
        <f t="shared" si="13"/>
        <v>#REF!</v>
      </c>
      <c r="O7" s="117" t="e">
        <f t="shared" si="13"/>
        <v>#REF!</v>
      </c>
      <c r="P7" s="117" t="e">
        <f t="shared" si="13"/>
        <v>#REF!</v>
      </c>
      <c r="Q7" s="117" t="e">
        <f t="shared" si="13"/>
        <v>#REF!</v>
      </c>
      <c r="R7" s="117" t="e">
        <f t="shared" si="8"/>
        <v>#REF!</v>
      </c>
      <c r="S7" s="117" t="e">
        <f t="shared" si="8"/>
        <v>#REF!</v>
      </c>
      <c r="T7" s="117" t="e">
        <f t="shared" si="8"/>
        <v>#REF!</v>
      </c>
      <c r="U7" s="110" t="e">
        <f t="shared" si="9"/>
        <v>#REF!</v>
      </c>
      <c r="V7" s="110" t="e">
        <f t="shared" si="2"/>
        <v>#REF!</v>
      </c>
      <c r="W7" s="110" t="e">
        <f t="shared" si="3"/>
        <v>#REF!</v>
      </c>
      <c r="X7" s="110" t="e">
        <f t="shared" si="4"/>
        <v>#REF!</v>
      </c>
      <c r="Y7" s="113" t="e">
        <f t="shared" si="10"/>
        <v>#REF!</v>
      </c>
      <c r="Z7" s="117" t="e">
        <f t="shared" si="14"/>
        <v>#REF!</v>
      </c>
    </row>
    <row r="8" spans="1:26" s="123" customFormat="1" x14ac:dyDescent="0.25">
      <c r="A8" s="118" t="e">
        <f t="shared" si="11"/>
        <v>#REF!</v>
      </c>
      <c r="B8" s="118" t="e">
        <f t="shared" si="11"/>
        <v>#REF!</v>
      </c>
      <c r="C8" s="119" t="e">
        <f t="shared" si="11"/>
        <v>#REF!</v>
      </c>
      <c r="D8" s="120" t="e">
        <f>Z4/Z8</f>
        <v>#REF!</v>
      </c>
      <c r="E8" s="117" t="e">
        <f>E7*D7</f>
        <v>#REF!</v>
      </c>
      <c r="F8" s="119"/>
      <c r="G8" s="119"/>
      <c r="H8" s="121" t="e">
        <f t="shared" si="5"/>
        <v>#REF!</v>
      </c>
      <c r="I8" s="122" t="e">
        <f t="shared" si="6"/>
        <v>#REF!</v>
      </c>
      <c r="J8" s="117" t="e">
        <f t="shared" si="12"/>
        <v>#REF!</v>
      </c>
      <c r="K8" s="110" t="e">
        <f t="shared" si="7"/>
        <v>#REF!</v>
      </c>
      <c r="L8" s="110" t="e">
        <f t="shared" si="1"/>
        <v>#REF!</v>
      </c>
      <c r="M8" s="117" t="e">
        <f t="shared" si="13"/>
        <v>#REF!</v>
      </c>
      <c r="N8" s="117" t="e">
        <f t="shared" si="13"/>
        <v>#REF!</v>
      </c>
      <c r="O8" s="117" t="e">
        <f t="shared" si="13"/>
        <v>#REF!</v>
      </c>
      <c r="P8" s="117" t="e">
        <f t="shared" si="13"/>
        <v>#REF!</v>
      </c>
      <c r="Q8" s="117" t="e">
        <f t="shared" si="13"/>
        <v>#REF!</v>
      </c>
      <c r="R8" s="117" t="e">
        <f t="shared" si="8"/>
        <v>#REF!</v>
      </c>
      <c r="S8" s="117" t="e">
        <f t="shared" si="8"/>
        <v>#REF!</v>
      </c>
      <c r="T8" s="117" t="e">
        <f t="shared" si="8"/>
        <v>#REF!</v>
      </c>
      <c r="U8" s="110" t="e">
        <f t="shared" si="9"/>
        <v>#REF!</v>
      </c>
      <c r="V8" s="110" t="e">
        <f t="shared" si="2"/>
        <v>#REF!</v>
      </c>
      <c r="W8" s="110" t="e">
        <f t="shared" si="3"/>
        <v>#REF!</v>
      </c>
      <c r="X8" s="110" t="e">
        <f t="shared" si="4"/>
        <v>#REF!</v>
      </c>
      <c r="Y8" s="113" t="e">
        <f t="shared" si="10"/>
        <v>#REF!</v>
      </c>
      <c r="Z8" s="117" t="e">
        <f t="shared" si="14"/>
        <v>#REF!</v>
      </c>
    </row>
    <row r="9" spans="1:26" s="116" customFormat="1" x14ac:dyDescent="0.25">
      <c r="A9" s="108" t="e">
        <f t="shared" si="11"/>
        <v>#REF!</v>
      </c>
      <c r="B9" s="108" t="e">
        <f t="shared" si="11"/>
        <v>#REF!</v>
      </c>
      <c r="C9" s="109" t="e">
        <f t="shared" si="11"/>
        <v>#REF!</v>
      </c>
      <c r="D9" s="109"/>
      <c r="E9" s="114" t="e">
        <f>ROUNDDOWN(E8*D8,0)</f>
        <v>#REF!</v>
      </c>
      <c r="F9" s="109"/>
      <c r="G9" s="109"/>
      <c r="H9" s="115" t="e">
        <f t="shared" si="5"/>
        <v>#REF!</v>
      </c>
      <c r="I9" s="110" t="e">
        <f t="shared" si="6"/>
        <v>#REF!</v>
      </c>
      <c r="J9" s="117" t="e">
        <f t="shared" si="12"/>
        <v>#REF!</v>
      </c>
      <c r="K9" s="110" t="e">
        <f t="shared" si="7"/>
        <v>#REF!</v>
      </c>
      <c r="L9" s="110" t="e">
        <f t="shared" si="1"/>
        <v>#REF!</v>
      </c>
      <c r="M9" s="110" t="e">
        <f t="shared" si="13"/>
        <v>#REF!</v>
      </c>
      <c r="N9" s="110" t="e">
        <f t="shared" si="13"/>
        <v>#REF!</v>
      </c>
      <c r="O9" s="110" t="e">
        <f t="shared" si="13"/>
        <v>#REF!</v>
      </c>
      <c r="P9" s="110" t="e">
        <f t="shared" si="13"/>
        <v>#REF!</v>
      </c>
      <c r="Q9" s="117" t="e">
        <f t="shared" si="13"/>
        <v>#REF!</v>
      </c>
      <c r="R9" s="117" t="e">
        <f t="shared" si="8"/>
        <v>#REF!</v>
      </c>
      <c r="S9" s="117" t="e">
        <f t="shared" si="8"/>
        <v>#REF!</v>
      </c>
      <c r="T9" s="117" t="e">
        <f t="shared" si="8"/>
        <v>#REF!</v>
      </c>
      <c r="U9" s="110" t="e">
        <f t="shared" si="9"/>
        <v>#REF!</v>
      </c>
      <c r="V9" s="110" t="e">
        <f t="shared" si="2"/>
        <v>#REF!</v>
      </c>
      <c r="W9" s="110" t="e">
        <f t="shared" si="3"/>
        <v>#REF!</v>
      </c>
      <c r="X9" s="110" t="e">
        <f>P9+U9+W9</f>
        <v>#REF!</v>
      </c>
      <c r="Y9" s="113" t="e">
        <f t="shared" si="10"/>
        <v>#REF!</v>
      </c>
      <c r="Z9" s="117" t="e">
        <f t="shared" si="14"/>
        <v>#REF!</v>
      </c>
    </row>
    <row r="14" spans="1:26" x14ac:dyDescent="0.25">
      <c r="W14" s="124"/>
    </row>
    <row r="15" spans="1:26" x14ac:dyDescent="0.25">
      <c r="W15" s="124"/>
    </row>
    <row r="16" spans="1:26" x14ac:dyDescent="0.25">
      <c r="W16" s="124"/>
    </row>
  </sheetData>
  <autoFilter ref="A1:Z9"/>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5"/>
  <sheetViews>
    <sheetView topLeftCell="A4" workbookViewId="0">
      <selection activeCell="D12" sqref="D12"/>
    </sheetView>
  </sheetViews>
  <sheetFormatPr defaultRowHeight="14.4" x14ac:dyDescent="0.3"/>
  <cols>
    <col min="1" max="1" width="24.5546875" customWidth="1"/>
    <col min="2" max="2" width="12.77734375" customWidth="1"/>
    <col min="3" max="4" width="14.77734375" customWidth="1"/>
  </cols>
  <sheetData>
    <row r="1" spans="1:13" ht="29.4" customHeight="1" x14ac:dyDescent="0.3">
      <c r="A1" s="169" t="s">
        <v>814</v>
      </c>
      <c r="B1" s="170"/>
      <c r="C1" s="170"/>
      <c r="D1" s="170"/>
      <c r="E1" s="170"/>
      <c r="F1" s="170"/>
      <c r="G1" s="171">
        <v>500000</v>
      </c>
      <c r="H1" s="172"/>
    </row>
    <row r="2" spans="1:13" x14ac:dyDescent="0.3">
      <c r="A2" s="165" t="s">
        <v>751</v>
      </c>
      <c r="B2" s="166"/>
      <c r="C2" s="166"/>
      <c r="D2" s="166"/>
      <c r="E2" s="166"/>
      <c r="F2" s="166"/>
      <c r="G2" s="173"/>
      <c r="H2" s="174"/>
    </row>
    <row r="3" spans="1:13" x14ac:dyDescent="0.3">
      <c r="A3" s="165" t="s">
        <v>787</v>
      </c>
      <c r="B3" s="166"/>
      <c r="C3" s="166"/>
      <c r="D3" s="166"/>
      <c r="E3" s="166"/>
      <c r="F3" s="166"/>
      <c r="G3" s="167">
        <f>G1*0.1</f>
        <v>50000</v>
      </c>
      <c r="H3" s="168"/>
    </row>
    <row r="4" spans="1:13" ht="28.2" customHeight="1" x14ac:dyDescent="0.3">
      <c r="A4" s="165" t="s">
        <v>788</v>
      </c>
      <c r="B4" s="166"/>
      <c r="C4" s="166"/>
      <c r="D4" s="166"/>
      <c r="E4" s="166"/>
      <c r="F4" s="166"/>
      <c r="G4" s="167">
        <f>(G1*0.2)</f>
        <v>100000</v>
      </c>
      <c r="H4" s="168"/>
    </row>
    <row r="5" spans="1:13" ht="28.2" customHeight="1" x14ac:dyDescent="0.3">
      <c r="A5" s="165" t="s">
        <v>752</v>
      </c>
      <c r="B5" s="166"/>
      <c r="C5" s="166"/>
      <c r="D5" s="166"/>
      <c r="E5" s="166"/>
      <c r="F5" s="166"/>
      <c r="G5" s="167">
        <f>G4+G3+M15</f>
        <v>499999.57819999999</v>
      </c>
      <c r="H5" s="168"/>
    </row>
    <row r="7" spans="1:13" ht="21.6" thickBot="1" x14ac:dyDescent="0.45">
      <c r="A7" s="147" t="s">
        <v>815</v>
      </c>
    </row>
    <row r="8" spans="1:13" ht="72" x14ac:dyDescent="0.3">
      <c r="A8" s="125" t="s">
        <v>790</v>
      </c>
      <c r="B8" s="126" t="s">
        <v>791</v>
      </c>
      <c r="C8" s="126" t="s">
        <v>792</v>
      </c>
      <c r="D8" s="127" t="s">
        <v>813</v>
      </c>
      <c r="E8" s="126" t="s">
        <v>793</v>
      </c>
      <c r="F8" s="126" t="s">
        <v>794</v>
      </c>
      <c r="G8" s="126" t="s">
        <v>795</v>
      </c>
      <c r="H8" s="126" t="s">
        <v>796</v>
      </c>
      <c r="I8" s="126" t="s">
        <v>797</v>
      </c>
      <c r="J8" s="126" t="s">
        <v>4</v>
      </c>
      <c r="K8" s="126" t="s">
        <v>798</v>
      </c>
      <c r="L8" s="126" t="s">
        <v>799</v>
      </c>
      <c r="M8" s="128" t="s">
        <v>800</v>
      </c>
    </row>
    <row r="9" spans="1:13" ht="115.2" x14ac:dyDescent="0.3">
      <c r="A9" s="129" t="s">
        <v>801</v>
      </c>
      <c r="B9" s="130" t="s">
        <v>786</v>
      </c>
      <c r="C9" s="130" t="s">
        <v>802</v>
      </c>
      <c r="D9" s="131" t="s">
        <v>803</v>
      </c>
      <c r="E9" s="130" t="s">
        <v>804</v>
      </c>
      <c r="F9" s="130" t="s">
        <v>805</v>
      </c>
      <c r="G9" s="130" t="s">
        <v>806</v>
      </c>
      <c r="H9" s="130" t="s">
        <v>807</v>
      </c>
      <c r="I9" s="130" t="s">
        <v>808</v>
      </c>
      <c r="J9" s="130" t="s">
        <v>730</v>
      </c>
      <c r="K9" s="130" t="s">
        <v>558</v>
      </c>
      <c r="L9" s="130" t="s">
        <v>560</v>
      </c>
      <c r="M9" s="132" t="s">
        <v>160</v>
      </c>
    </row>
    <row r="10" spans="1:13" ht="15.6" x14ac:dyDescent="0.3">
      <c r="A10" s="133" t="s">
        <v>811</v>
      </c>
      <c r="B10" s="134">
        <v>44866</v>
      </c>
      <c r="C10" s="134">
        <v>44925</v>
      </c>
      <c r="D10" s="135">
        <v>50000</v>
      </c>
      <c r="E10" s="136">
        <f>MONTH(C10)-MONTH(B10)+1</f>
        <v>2</v>
      </c>
      <c r="F10" s="137">
        <f>D10*E10</f>
        <v>100000</v>
      </c>
      <c r="G10" s="138"/>
      <c r="H10" s="139"/>
      <c r="I10" s="137">
        <f t="shared" ref="I10" si="0">F10+G10+H10</f>
        <v>100000</v>
      </c>
      <c r="J10" s="137">
        <f t="shared" ref="J10" si="1">I10*0.302</f>
        <v>30200</v>
      </c>
      <c r="K10" s="137">
        <f>58000/12*E10</f>
        <v>9666.6666666666661</v>
      </c>
      <c r="L10" s="137">
        <f>6300/12*E10</f>
        <v>1050</v>
      </c>
      <c r="M10" s="140">
        <f t="shared" ref="M10" si="2">J10+K10+L10+I10</f>
        <v>140916.66666666666</v>
      </c>
    </row>
    <row r="11" spans="1:13" ht="15.6" x14ac:dyDescent="0.3">
      <c r="A11" s="133" t="s">
        <v>809</v>
      </c>
      <c r="B11" s="134">
        <v>44866</v>
      </c>
      <c r="C11" s="134">
        <v>44925</v>
      </c>
      <c r="D11" s="135">
        <v>30000</v>
      </c>
      <c r="E11" s="136">
        <f>MONTH(C11)-MONTH(B11)+1</f>
        <v>2</v>
      </c>
      <c r="F11" s="137">
        <f>D11*E11</f>
        <v>60000</v>
      </c>
      <c r="G11" s="138"/>
      <c r="H11" s="139"/>
      <c r="I11" s="137">
        <f>F11+G11+H11</f>
        <v>60000</v>
      </c>
      <c r="J11" s="137">
        <f>I11*0.302</f>
        <v>18120</v>
      </c>
      <c r="K11" s="137">
        <f>58000/12*E11</f>
        <v>9666.6666666666661</v>
      </c>
      <c r="L11" s="137">
        <f>6300/12*E11</f>
        <v>1050</v>
      </c>
      <c r="M11" s="140">
        <f>J11+K11+L11+I11</f>
        <v>88836.666666666657</v>
      </c>
    </row>
    <row r="12" spans="1:13" ht="15.6" x14ac:dyDescent="0.3">
      <c r="A12" s="133" t="s">
        <v>812</v>
      </c>
      <c r="B12" s="134">
        <v>44866</v>
      </c>
      <c r="C12" s="134">
        <v>44925</v>
      </c>
      <c r="D12" s="135">
        <v>42062.05</v>
      </c>
      <c r="E12" s="136">
        <f>MONTH(C12)-MONTH(B12)+1</f>
        <v>2</v>
      </c>
      <c r="F12" s="137">
        <f>D12*E12</f>
        <v>84124.1</v>
      </c>
      <c r="G12" s="138"/>
      <c r="H12" s="139"/>
      <c r="I12" s="137">
        <f>F12+G12+H12</f>
        <v>84124.1</v>
      </c>
      <c r="J12" s="137">
        <f>I12*0.302</f>
        <v>25405.478200000001</v>
      </c>
      <c r="K12" s="137">
        <f>58000/12*E12</f>
        <v>9666.6666666666661</v>
      </c>
      <c r="L12" s="137">
        <f>6300/12*E12</f>
        <v>1050</v>
      </c>
      <c r="M12" s="140">
        <f>J12+K12+L12+I12</f>
        <v>120246.24486666668</v>
      </c>
    </row>
    <row r="13" spans="1:13" ht="15.6" x14ac:dyDescent="0.3">
      <c r="A13" s="133"/>
      <c r="B13" s="134"/>
      <c r="C13" s="134"/>
      <c r="D13" s="135"/>
      <c r="E13" s="136"/>
      <c r="F13" s="137"/>
      <c r="G13" s="138"/>
      <c r="H13" s="139" t="s">
        <v>810</v>
      </c>
      <c r="I13" s="137"/>
      <c r="J13" s="137"/>
      <c r="K13" s="137"/>
      <c r="L13" s="137"/>
      <c r="M13" s="140"/>
    </row>
    <row r="15" spans="1:13" ht="15" thickBot="1" x14ac:dyDescent="0.35">
      <c r="A15" s="141" t="s">
        <v>160</v>
      </c>
      <c r="B15" s="142"/>
      <c r="C15" s="142"/>
      <c r="D15" s="143"/>
      <c r="E15" s="142"/>
      <c r="F15" s="144">
        <f>SUM(F10:F13)</f>
        <v>244124.1</v>
      </c>
      <c r="G15" s="144">
        <f>SUM(G10:G13)</f>
        <v>0</v>
      </c>
      <c r="H15" s="144"/>
      <c r="I15" s="145">
        <f>SUM(I10:I13)</f>
        <v>244124.1</v>
      </c>
      <c r="J15" s="145">
        <f>SUM(J10:J13)</f>
        <v>73725.478199999998</v>
      </c>
      <c r="K15" s="145">
        <f>SUM(K10:K13)</f>
        <v>29000</v>
      </c>
      <c r="L15" s="145">
        <f>SUM(L10:L13)</f>
        <v>3150</v>
      </c>
      <c r="M15" s="146">
        <f>J15+K15+L15+I15</f>
        <v>349999.57819999999</v>
      </c>
    </row>
  </sheetData>
  <mergeCells count="10">
    <mergeCell ref="A4:F4"/>
    <mergeCell ref="G4:H4"/>
    <mergeCell ref="A5:F5"/>
    <mergeCell ref="G5:H5"/>
    <mergeCell ref="A1:F1"/>
    <mergeCell ref="G1:H1"/>
    <mergeCell ref="A2:F2"/>
    <mergeCell ref="G2:H2"/>
    <mergeCell ref="A3:F3"/>
    <mergeCell ref="G3:H3"/>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5"/>
  <sheetViews>
    <sheetView topLeftCell="A7" workbookViewId="0">
      <selection activeCell="D20" activeCellId="1" sqref="M16 D20"/>
    </sheetView>
  </sheetViews>
  <sheetFormatPr defaultRowHeight="14.4" x14ac:dyDescent="0.3"/>
  <cols>
    <col min="1" max="1" width="24.33203125" customWidth="1"/>
    <col min="2" max="2" width="14.44140625" customWidth="1"/>
    <col min="3" max="3" width="13.21875" customWidth="1"/>
    <col min="4" max="4" width="12.44140625" customWidth="1"/>
    <col min="5" max="5" width="11.6640625" customWidth="1"/>
    <col min="13" max="13" width="11.21875" customWidth="1"/>
  </cols>
  <sheetData>
    <row r="1" spans="1:15" ht="33" customHeight="1" x14ac:dyDescent="0.3">
      <c r="A1" s="169" t="s">
        <v>814</v>
      </c>
      <c r="B1" s="170"/>
      <c r="C1" s="170"/>
      <c r="D1" s="170"/>
      <c r="E1" s="170"/>
      <c r="F1" s="170"/>
      <c r="G1" s="171">
        <v>2500000</v>
      </c>
      <c r="H1" s="172"/>
    </row>
    <row r="2" spans="1:15" ht="25.8" customHeight="1" x14ac:dyDescent="0.3">
      <c r="A2" s="165" t="s">
        <v>751</v>
      </c>
      <c r="B2" s="166"/>
      <c r="C2" s="166"/>
      <c r="D2" s="166"/>
      <c r="E2" s="166"/>
      <c r="F2" s="166"/>
      <c r="G2" s="173"/>
      <c r="H2" s="174"/>
    </row>
    <row r="3" spans="1:15" x14ac:dyDescent="0.3">
      <c r="A3" s="165" t="s">
        <v>787</v>
      </c>
      <c r="B3" s="166"/>
      <c r="C3" s="166"/>
      <c r="D3" s="166"/>
      <c r="E3" s="166"/>
      <c r="F3" s="166"/>
      <c r="G3" s="167">
        <f>G1*0.1</f>
        <v>250000</v>
      </c>
      <c r="H3" s="168"/>
    </row>
    <row r="4" spans="1:15" ht="25.2" customHeight="1" x14ac:dyDescent="0.3">
      <c r="A4" s="165" t="s">
        <v>788</v>
      </c>
      <c r="B4" s="166"/>
      <c r="C4" s="166"/>
      <c r="D4" s="166"/>
      <c r="E4" s="166"/>
      <c r="F4" s="166"/>
      <c r="G4" s="167">
        <f>(G1*0.2)</f>
        <v>500000</v>
      </c>
      <c r="H4" s="168"/>
    </row>
    <row r="5" spans="1:15" ht="27.6" customHeight="1" x14ac:dyDescent="0.3">
      <c r="A5" s="165" t="s">
        <v>752</v>
      </c>
      <c r="B5" s="166"/>
      <c r="C5" s="166"/>
      <c r="D5" s="166"/>
      <c r="E5" s="166"/>
      <c r="F5" s="166"/>
      <c r="G5" s="167">
        <f>G3+G4+M16+D20+E30+E37+C40</f>
        <v>2500000.0017300001</v>
      </c>
      <c r="H5" s="168"/>
    </row>
    <row r="7" spans="1:15" ht="21.6" thickBot="1" x14ac:dyDescent="0.45">
      <c r="A7" s="147" t="s">
        <v>815</v>
      </c>
    </row>
    <row r="8" spans="1:15" ht="72" x14ac:dyDescent="0.3">
      <c r="A8" s="125" t="s">
        <v>790</v>
      </c>
      <c r="B8" s="126" t="s">
        <v>791</v>
      </c>
      <c r="C8" s="126" t="s">
        <v>792</v>
      </c>
      <c r="D8" s="127" t="s">
        <v>813</v>
      </c>
      <c r="E8" s="126" t="s">
        <v>793</v>
      </c>
      <c r="F8" s="126" t="s">
        <v>794</v>
      </c>
      <c r="G8" s="126" t="s">
        <v>795</v>
      </c>
      <c r="H8" s="126" t="s">
        <v>796</v>
      </c>
      <c r="I8" s="126" t="s">
        <v>797</v>
      </c>
      <c r="J8" s="126" t="s">
        <v>4</v>
      </c>
      <c r="K8" s="126" t="s">
        <v>798</v>
      </c>
      <c r="L8" s="126" t="s">
        <v>799</v>
      </c>
      <c r="M8" s="128" t="s">
        <v>800</v>
      </c>
    </row>
    <row r="9" spans="1:15" ht="115.2" x14ac:dyDescent="0.3">
      <c r="A9" s="129" t="s">
        <v>801</v>
      </c>
      <c r="B9" s="130" t="s">
        <v>786</v>
      </c>
      <c r="C9" s="130" t="s">
        <v>802</v>
      </c>
      <c r="D9" s="131" t="s">
        <v>803</v>
      </c>
      <c r="E9" s="130" t="s">
        <v>804</v>
      </c>
      <c r="F9" s="130" t="s">
        <v>805</v>
      </c>
      <c r="G9" s="130" t="s">
        <v>806</v>
      </c>
      <c r="H9" s="130" t="s">
        <v>807</v>
      </c>
      <c r="I9" s="130" t="s">
        <v>808</v>
      </c>
      <c r="J9" s="130" t="s">
        <v>730</v>
      </c>
      <c r="K9" s="130" t="s">
        <v>558</v>
      </c>
      <c r="L9" s="130" t="s">
        <v>560</v>
      </c>
      <c r="M9" s="132" t="s">
        <v>160</v>
      </c>
    </row>
    <row r="10" spans="1:15" ht="15.6" x14ac:dyDescent="0.3">
      <c r="A10" s="133" t="s">
        <v>811</v>
      </c>
      <c r="B10" s="134">
        <v>44927</v>
      </c>
      <c r="C10" s="134">
        <v>45015</v>
      </c>
      <c r="D10" s="135">
        <v>70000</v>
      </c>
      <c r="E10" s="136">
        <f>MONTH(C10)-MONTH(B10)+1</f>
        <v>3</v>
      </c>
      <c r="F10" s="137">
        <f>D10*E10</f>
        <v>210000</v>
      </c>
      <c r="G10" s="138"/>
      <c r="H10" s="139"/>
      <c r="I10" s="137">
        <f t="shared" ref="I10" si="0">F10+G10+H10</f>
        <v>210000</v>
      </c>
      <c r="J10" s="137">
        <f t="shared" ref="J10" si="1">I10*0.302</f>
        <v>63420</v>
      </c>
      <c r="K10" s="137">
        <f>58000/12*E10</f>
        <v>14500</v>
      </c>
      <c r="L10" s="137">
        <f>6300/12*E10</f>
        <v>1575</v>
      </c>
      <c r="M10" s="140">
        <f t="shared" ref="M10" si="2">J10+K10+L10+I10</f>
        <v>289495</v>
      </c>
    </row>
    <row r="11" spans="1:15" ht="15.6" x14ac:dyDescent="0.3">
      <c r="A11" s="133" t="s">
        <v>809</v>
      </c>
      <c r="B11" s="134">
        <v>44927</v>
      </c>
      <c r="C11" s="134">
        <v>45015</v>
      </c>
      <c r="D11" s="135">
        <v>40000</v>
      </c>
      <c r="E11" s="136">
        <f>MONTH(C11)-MONTH(B11)+1</f>
        <v>3</v>
      </c>
      <c r="F11" s="137">
        <f>D11*E11</f>
        <v>120000</v>
      </c>
      <c r="G11" s="138"/>
      <c r="H11" s="139"/>
      <c r="I11" s="137">
        <f>F11+G11+H11</f>
        <v>120000</v>
      </c>
      <c r="J11" s="137">
        <f>I11*0.302</f>
        <v>36240</v>
      </c>
      <c r="K11" s="137">
        <f>58000/12*E11</f>
        <v>14500</v>
      </c>
      <c r="L11" s="137">
        <f>6300/12*E11</f>
        <v>1575</v>
      </c>
      <c r="M11" s="140">
        <f>J11+K11+L11+I11</f>
        <v>172315</v>
      </c>
    </row>
    <row r="12" spans="1:15" ht="15.6" x14ac:dyDescent="0.3">
      <c r="A12" s="133" t="s">
        <v>816</v>
      </c>
      <c r="B12" s="134">
        <v>44927</v>
      </c>
      <c r="C12" s="134">
        <v>45015</v>
      </c>
      <c r="D12" s="135">
        <v>60000</v>
      </c>
      <c r="E12" s="136">
        <f t="shared" ref="E12:E14" si="3">MONTH(C12)-MONTH(B12)+1</f>
        <v>3</v>
      </c>
      <c r="F12" s="137">
        <f t="shared" ref="F12:F14" si="4">D12*E12</f>
        <v>180000</v>
      </c>
      <c r="G12" s="138"/>
      <c r="H12" s="139"/>
      <c r="I12" s="137">
        <f t="shared" ref="I12:I14" si="5">F12+G12+H12</f>
        <v>180000</v>
      </c>
      <c r="J12" s="137">
        <f t="shared" ref="J12:J14" si="6">I12*0.302</f>
        <v>54360</v>
      </c>
      <c r="K12" s="137">
        <f t="shared" ref="K12:K14" si="7">58000/12*E12</f>
        <v>14500</v>
      </c>
      <c r="L12" s="137">
        <f t="shared" ref="L12:L14" si="8">6300/12*E12</f>
        <v>1575</v>
      </c>
      <c r="M12" s="140">
        <f t="shared" ref="M12:M14" si="9">J12+K12+L12+I12</f>
        <v>250435</v>
      </c>
    </row>
    <row r="13" spans="1:15" ht="15.6" x14ac:dyDescent="0.3">
      <c r="A13" s="148" t="s">
        <v>817</v>
      </c>
      <c r="B13" s="134">
        <v>44927</v>
      </c>
      <c r="C13" s="134">
        <v>45015</v>
      </c>
      <c r="D13" s="135">
        <v>50000</v>
      </c>
      <c r="E13" s="136">
        <f t="shared" si="3"/>
        <v>3</v>
      </c>
      <c r="F13" s="137">
        <f t="shared" si="4"/>
        <v>150000</v>
      </c>
      <c r="G13" s="138"/>
      <c r="H13" s="139"/>
      <c r="I13" s="137">
        <f t="shared" si="5"/>
        <v>150000</v>
      </c>
      <c r="J13" s="137">
        <f t="shared" si="6"/>
        <v>45300</v>
      </c>
      <c r="K13" s="137">
        <f t="shared" si="7"/>
        <v>14500</v>
      </c>
      <c r="L13" s="137">
        <f t="shared" si="8"/>
        <v>1575</v>
      </c>
      <c r="M13" s="140">
        <f t="shared" si="9"/>
        <v>211375</v>
      </c>
    </row>
    <row r="14" spans="1:15" ht="15.6" x14ac:dyDescent="0.3">
      <c r="A14" s="148" t="s">
        <v>817</v>
      </c>
      <c r="B14" s="134">
        <v>44927</v>
      </c>
      <c r="C14" s="134">
        <v>45015</v>
      </c>
      <c r="D14" s="135">
        <v>50000</v>
      </c>
      <c r="E14" s="136">
        <f t="shared" si="3"/>
        <v>3</v>
      </c>
      <c r="F14" s="137">
        <f t="shared" si="4"/>
        <v>150000</v>
      </c>
      <c r="G14" s="138"/>
      <c r="H14" s="139"/>
      <c r="I14" s="137">
        <f t="shared" si="5"/>
        <v>150000</v>
      </c>
      <c r="J14" s="137">
        <f t="shared" si="6"/>
        <v>45300</v>
      </c>
      <c r="K14" s="137">
        <f t="shared" si="7"/>
        <v>14500</v>
      </c>
      <c r="L14" s="137">
        <f t="shared" si="8"/>
        <v>1575</v>
      </c>
      <c r="M14" s="140">
        <f t="shared" si="9"/>
        <v>211375</v>
      </c>
    </row>
    <row r="16" spans="1:15" ht="15" thickBot="1" x14ac:dyDescent="0.35">
      <c r="A16" s="141" t="s">
        <v>160</v>
      </c>
      <c r="B16" s="142"/>
      <c r="C16" s="142"/>
      <c r="D16" s="143"/>
      <c r="E16" s="142"/>
      <c r="F16" s="144">
        <f>SUM(F10:F14)</f>
        <v>810000</v>
      </c>
      <c r="G16" s="144">
        <f>SUM(G10:G14)</f>
        <v>0</v>
      </c>
      <c r="H16" s="144"/>
      <c r="I16" s="145">
        <f>SUM(I10:I14)</f>
        <v>810000</v>
      </c>
      <c r="J16" s="145">
        <f>SUM(J10:J14)</f>
        <v>244620</v>
      </c>
      <c r="K16" s="145">
        <f>SUM(K10:K14)</f>
        <v>72500</v>
      </c>
      <c r="L16" s="145">
        <f>SUM(L10:L14)</f>
        <v>7875</v>
      </c>
      <c r="M16" s="146">
        <f>J16+K16+L16+I16</f>
        <v>1134995</v>
      </c>
      <c r="O16" s="149"/>
    </row>
    <row r="18" spans="1:7" ht="21" x14ac:dyDescent="0.4">
      <c r="A18" s="147" t="s">
        <v>818</v>
      </c>
    </row>
    <row r="19" spans="1:7" ht="42" x14ac:dyDescent="0.3">
      <c r="B19" s="63" t="s">
        <v>732</v>
      </c>
      <c r="C19" s="63" t="s">
        <v>730</v>
      </c>
      <c r="D19" s="63" t="s">
        <v>160</v>
      </c>
    </row>
    <row r="20" spans="1:7" ht="15" thickBot="1" x14ac:dyDescent="0.35">
      <c r="A20" s="40" t="s">
        <v>731</v>
      </c>
      <c r="B20" s="40">
        <v>188831.63</v>
      </c>
      <c r="C20" s="64">
        <f>B20*0.271</f>
        <v>51173.371730000006</v>
      </c>
      <c r="D20" s="160">
        <f>B20+C20</f>
        <v>240005.00173000002</v>
      </c>
    </row>
    <row r="21" spans="1:7" ht="15" thickTop="1" x14ac:dyDescent="0.3"/>
    <row r="23" spans="1:7" ht="21" x14ac:dyDescent="0.4">
      <c r="A23" s="147" t="s">
        <v>819</v>
      </c>
    </row>
    <row r="25" spans="1:7" ht="28.8" x14ac:dyDescent="0.3">
      <c r="A25" s="150" t="s">
        <v>823</v>
      </c>
      <c r="B25" s="150" t="s">
        <v>0</v>
      </c>
      <c r="C25" s="150" t="s">
        <v>820</v>
      </c>
      <c r="D25" s="151" t="s">
        <v>821</v>
      </c>
      <c r="E25" s="152" t="s">
        <v>822</v>
      </c>
      <c r="G25" s="156"/>
    </row>
    <row r="26" spans="1:7" ht="53.4" x14ac:dyDescent="0.3">
      <c r="A26" s="153">
        <v>1</v>
      </c>
      <c r="B26" s="154" t="s">
        <v>824</v>
      </c>
      <c r="C26" s="150">
        <v>4</v>
      </c>
      <c r="D26" s="150">
        <v>60000</v>
      </c>
      <c r="E26" s="150">
        <f>C26*D26</f>
        <v>240000</v>
      </c>
    </row>
    <row r="27" spans="1:7" x14ac:dyDescent="0.3">
      <c r="A27" s="153">
        <v>2</v>
      </c>
      <c r="B27" s="155" t="s">
        <v>825</v>
      </c>
      <c r="C27" s="150">
        <v>2</v>
      </c>
      <c r="D27" s="150">
        <v>10000</v>
      </c>
      <c r="E27" s="150">
        <f>C27*D27</f>
        <v>20000</v>
      </c>
    </row>
    <row r="28" spans="1:7" x14ac:dyDescent="0.3">
      <c r="A28" s="153">
        <v>3</v>
      </c>
      <c r="B28" s="155" t="s">
        <v>826</v>
      </c>
      <c r="C28" s="150">
        <v>1</v>
      </c>
      <c r="D28" s="150">
        <v>15000</v>
      </c>
      <c r="E28" s="150">
        <f>C28*D28</f>
        <v>15000</v>
      </c>
    </row>
    <row r="29" spans="1:7" ht="106.2" x14ac:dyDescent="0.3">
      <c r="A29" s="153">
        <v>4</v>
      </c>
      <c r="B29" s="154" t="s">
        <v>827</v>
      </c>
      <c r="C29" s="150">
        <v>1</v>
      </c>
      <c r="D29" s="150">
        <v>70000</v>
      </c>
      <c r="E29" s="150">
        <f>C29*D29</f>
        <v>70000</v>
      </c>
    </row>
    <row r="30" spans="1:7" ht="15" thickBot="1" x14ac:dyDescent="0.35">
      <c r="E30" s="160">
        <f>SUM(E26:E29)</f>
        <v>345000</v>
      </c>
    </row>
    <row r="31" spans="1:7" ht="15" thickTop="1" x14ac:dyDescent="0.3"/>
    <row r="33" spans="1:5" ht="21" x14ac:dyDescent="0.4">
      <c r="A33" s="147" t="s">
        <v>828</v>
      </c>
    </row>
    <row r="34" spans="1:5" ht="28.8" x14ac:dyDescent="0.3">
      <c r="A34" s="150" t="s">
        <v>823</v>
      </c>
      <c r="B34" s="150" t="s">
        <v>0</v>
      </c>
      <c r="C34" s="150" t="s">
        <v>820</v>
      </c>
      <c r="D34" s="151" t="s">
        <v>821</v>
      </c>
      <c r="E34" s="152" t="s">
        <v>822</v>
      </c>
    </row>
    <row r="35" spans="1:5" ht="79.2" x14ac:dyDescent="0.3">
      <c r="A35" s="153">
        <v>1</v>
      </c>
      <c r="B35" s="158" t="s">
        <v>829</v>
      </c>
      <c r="C35" s="150">
        <v>1</v>
      </c>
      <c r="D35" s="150">
        <v>25000</v>
      </c>
      <c r="E35" s="150">
        <f>C35*D35</f>
        <v>25000</v>
      </c>
    </row>
    <row r="36" spans="1:5" x14ac:dyDescent="0.3">
      <c r="A36" s="153">
        <v>2</v>
      </c>
      <c r="B36" s="155" t="s">
        <v>830</v>
      </c>
      <c r="C36" s="150">
        <v>1</v>
      </c>
      <c r="D36" s="150">
        <v>5000</v>
      </c>
      <c r="E36" s="150">
        <f>C36*D36</f>
        <v>5000</v>
      </c>
    </row>
    <row r="37" spans="1:5" ht="15" thickBot="1" x14ac:dyDescent="0.35">
      <c r="E37" s="160">
        <f>SUM(E35:E36)</f>
        <v>30000</v>
      </c>
    </row>
    <row r="38" spans="1:5" ht="15" thickTop="1" x14ac:dyDescent="0.3"/>
    <row r="40" spans="1:5" ht="21.6" thickBot="1" x14ac:dyDescent="0.45">
      <c r="A40" s="147"/>
      <c r="C40" s="160"/>
    </row>
    <row r="41" spans="1:5" ht="15" thickTop="1" x14ac:dyDescent="0.3"/>
    <row r="44" spans="1:5" ht="15" thickBot="1" x14ac:dyDescent="0.35">
      <c r="E44" s="160"/>
    </row>
    <row r="45" spans="1:5" ht="15" thickTop="1" x14ac:dyDescent="0.3"/>
  </sheetData>
  <mergeCells count="10">
    <mergeCell ref="A4:F4"/>
    <mergeCell ref="G4:H4"/>
    <mergeCell ref="A5:F5"/>
    <mergeCell ref="G5:H5"/>
    <mergeCell ref="A1:F1"/>
    <mergeCell ref="G1:H1"/>
    <mergeCell ref="A2:F2"/>
    <mergeCell ref="G2:H2"/>
    <mergeCell ref="A3:F3"/>
    <mergeCell ref="G3:H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O43"/>
  <sheetViews>
    <sheetView tabSelected="1" topLeftCell="A10" workbookViewId="0">
      <selection activeCell="J4" sqref="J4"/>
    </sheetView>
  </sheetViews>
  <sheetFormatPr defaultRowHeight="14.4" x14ac:dyDescent="0.3"/>
  <cols>
    <col min="1" max="1" width="21.88671875" customWidth="1"/>
    <col min="2" max="2" width="24.21875" customWidth="1"/>
    <col min="3" max="3" width="13.21875" customWidth="1"/>
    <col min="4" max="4" width="14.5546875" customWidth="1"/>
    <col min="6" max="6" width="13.6640625" customWidth="1"/>
    <col min="13" max="13" width="10.6640625" customWidth="1"/>
  </cols>
  <sheetData>
    <row r="1" spans="1:15" ht="27" customHeight="1" x14ac:dyDescent="0.3">
      <c r="A1" s="169" t="s">
        <v>814</v>
      </c>
      <c r="B1" s="170"/>
      <c r="C1" s="170"/>
      <c r="D1" s="170"/>
      <c r="E1" s="170"/>
      <c r="F1" s="170"/>
      <c r="G1" s="171">
        <v>2000000</v>
      </c>
      <c r="H1" s="172"/>
    </row>
    <row r="2" spans="1:15" x14ac:dyDescent="0.3">
      <c r="A2" s="165" t="s">
        <v>751</v>
      </c>
      <c r="B2" s="166"/>
      <c r="C2" s="166"/>
      <c r="D2" s="166"/>
      <c r="E2" s="166"/>
      <c r="F2" s="166"/>
      <c r="G2" s="173"/>
      <c r="H2" s="174"/>
    </row>
    <row r="3" spans="1:15" ht="18" customHeight="1" x14ac:dyDescent="0.3">
      <c r="A3" s="165" t="s">
        <v>787</v>
      </c>
      <c r="B3" s="166"/>
      <c r="C3" s="166"/>
      <c r="D3" s="166"/>
      <c r="E3" s="166"/>
      <c r="F3" s="166"/>
      <c r="G3" s="167">
        <f>G1*0.1</f>
        <v>200000</v>
      </c>
      <c r="H3" s="168"/>
    </row>
    <row r="4" spans="1:15" ht="24.6" customHeight="1" x14ac:dyDescent="0.3">
      <c r="A4" s="165" t="s">
        <v>788</v>
      </c>
      <c r="B4" s="166"/>
      <c r="C4" s="166"/>
      <c r="D4" s="166"/>
      <c r="E4" s="166"/>
      <c r="F4" s="166"/>
      <c r="G4" s="167">
        <f>(G1*0.2)</f>
        <v>400000</v>
      </c>
      <c r="H4" s="168"/>
    </row>
    <row r="5" spans="1:15" ht="25.2" customHeight="1" x14ac:dyDescent="0.3">
      <c r="A5" s="165" t="s">
        <v>752</v>
      </c>
      <c r="B5" s="166"/>
      <c r="C5" s="166"/>
      <c r="D5" s="166"/>
      <c r="E5" s="166"/>
      <c r="F5" s="166"/>
      <c r="G5" s="167">
        <f>G3+G4+M15+C19+D35</f>
        <v>2000000.3666666667</v>
      </c>
      <c r="H5" s="168"/>
    </row>
    <row r="7" spans="1:15" ht="21.6" thickBot="1" x14ac:dyDescent="0.45">
      <c r="A7" s="147" t="s">
        <v>815</v>
      </c>
    </row>
    <row r="8" spans="1:15" ht="72" x14ac:dyDescent="0.3">
      <c r="A8" s="125" t="s">
        <v>790</v>
      </c>
      <c r="B8" s="126" t="s">
        <v>791</v>
      </c>
      <c r="C8" s="126" t="s">
        <v>792</v>
      </c>
      <c r="D8" s="127" t="s">
        <v>813</v>
      </c>
      <c r="E8" s="126" t="s">
        <v>793</v>
      </c>
      <c r="F8" s="126" t="s">
        <v>794</v>
      </c>
      <c r="G8" s="126" t="s">
        <v>795</v>
      </c>
      <c r="H8" s="126" t="s">
        <v>796</v>
      </c>
      <c r="I8" s="126" t="s">
        <v>797</v>
      </c>
      <c r="J8" s="126" t="s">
        <v>4</v>
      </c>
      <c r="K8" s="126" t="s">
        <v>798</v>
      </c>
      <c r="L8" s="126" t="s">
        <v>799</v>
      </c>
      <c r="M8" s="128" t="s">
        <v>800</v>
      </c>
    </row>
    <row r="9" spans="1:15" ht="115.2" x14ac:dyDescent="0.3">
      <c r="A9" s="129" t="s">
        <v>801</v>
      </c>
      <c r="B9" s="130" t="s">
        <v>786</v>
      </c>
      <c r="C9" s="130" t="s">
        <v>802</v>
      </c>
      <c r="D9" s="131" t="s">
        <v>803</v>
      </c>
      <c r="E9" s="130" t="s">
        <v>804</v>
      </c>
      <c r="F9" s="130" t="s">
        <v>805</v>
      </c>
      <c r="G9" s="130" t="s">
        <v>806</v>
      </c>
      <c r="H9" s="130" t="s">
        <v>807</v>
      </c>
      <c r="I9" s="130" t="s">
        <v>808</v>
      </c>
      <c r="J9" s="130" t="s">
        <v>730</v>
      </c>
      <c r="K9" s="130" t="s">
        <v>558</v>
      </c>
      <c r="L9" s="130" t="s">
        <v>560</v>
      </c>
      <c r="M9" s="132" t="s">
        <v>160</v>
      </c>
    </row>
    <row r="10" spans="1:15" ht="15.6" x14ac:dyDescent="0.3">
      <c r="A10" s="133" t="s">
        <v>811</v>
      </c>
      <c r="B10" s="134">
        <v>45017</v>
      </c>
      <c r="C10" s="134">
        <v>45138</v>
      </c>
      <c r="D10" s="135">
        <v>50000</v>
      </c>
      <c r="E10" s="136">
        <f>MONTH(C10)-MONTH(B10)+1</f>
        <v>4</v>
      </c>
      <c r="F10" s="137">
        <f>D10*E10</f>
        <v>200000</v>
      </c>
      <c r="G10" s="138"/>
      <c r="H10" s="139"/>
      <c r="I10" s="137">
        <f t="shared" ref="I10" si="0">F10+G10+H10</f>
        <v>200000</v>
      </c>
      <c r="J10" s="137">
        <f t="shared" ref="J10" si="1">I10*0.302</f>
        <v>60400</v>
      </c>
      <c r="K10" s="137">
        <f>58000/12*E10</f>
        <v>19333.333333333332</v>
      </c>
      <c r="L10" s="137">
        <f>6300/12*E10</f>
        <v>2100</v>
      </c>
      <c r="M10" s="140">
        <f t="shared" ref="M10" si="2">J10+K10+L10+I10</f>
        <v>281833.33333333331</v>
      </c>
    </row>
    <row r="11" spans="1:15" ht="15.6" x14ac:dyDescent="0.3">
      <c r="A11" s="133" t="s">
        <v>809</v>
      </c>
      <c r="B11" s="134">
        <v>45017</v>
      </c>
      <c r="C11" s="134">
        <v>45138</v>
      </c>
      <c r="D11" s="135">
        <v>19837.5</v>
      </c>
      <c r="E11" s="136">
        <f>MONTH(C11)-MONTH(B11)+1</f>
        <v>4</v>
      </c>
      <c r="F11" s="137">
        <f>D11*E11</f>
        <v>79350</v>
      </c>
      <c r="G11" s="138"/>
      <c r="H11" s="139"/>
      <c r="I11" s="137">
        <f>F11+G11+H11</f>
        <v>79350</v>
      </c>
      <c r="J11" s="137">
        <f>I11*0.302</f>
        <v>23963.7</v>
      </c>
      <c r="K11" s="137">
        <f>58000/12*E11</f>
        <v>19333.333333333332</v>
      </c>
      <c r="L11" s="137">
        <f>6300/12*E11</f>
        <v>2100</v>
      </c>
      <c r="M11" s="140">
        <f>J11+K11+L11+I11</f>
        <v>124747.03333333333</v>
      </c>
    </row>
    <row r="12" spans="1:15" ht="15.6" x14ac:dyDescent="0.3">
      <c r="A12" s="133" t="s">
        <v>816</v>
      </c>
      <c r="B12" s="134">
        <v>45017</v>
      </c>
      <c r="C12" s="134">
        <v>45138</v>
      </c>
      <c r="D12" s="135">
        <v>60000</v>
      </c>
      <c r="E12" s="136">
        <f t="shared" ref="E12:E13" si="3">MONTH(C12)-MONTH(B12)+1</f>
        <v>4</v>
      </c>
      <c r="F12" s="137">
        <f t="shared" ref="F12:F13" si="4">D12*E12</f>
        <v>240000</v>
      </c>
      <c r="G12" s="138"/>
      <c r="H12" s="139"/>
      <c r="I12" s="137">
        <f t="shared" ref="I12:I13" si="5">F12+G12+H12</f>
        <v>240000</v>
      </c>
      <c r="J12" s="137">
        <f t="shared" ref="J12:J13" si="6">I12*0.302</f>
        <v>72480</v>
      </c>
      <c r="K12" s="137">
        <f t="shared" ref="K12:K13" si="7">58000/12*E12</f>
        <v>19333.333333333332</v>
      </c>
      <c r="L12" s="137">
        <f t="shared" ref="L12:L13" si="8">6300/12*E12</f>
        <v>2100</v>
      </c>
      <c r="M12" s="140">
        <f t="shared" ref="M12:M13" si="9">J12+K12+L12+I12</f>
        <v>333913.33333333331</v>
      </c>
    </row>
    <row r="13" spans="1:15" ht="15.6" x14ac:dyDescent="0.3">
      <c r="A13" s="148" t="s">
        <v>817</v>
      </c>
      <c r="B13" s="134">
        <v>45017</v>
      </c>
      <c r="C13" s="134">
        <v>45138</v>
      </c>
      <c r="D13" s="135">
        <v>40000</v>
      </c>
      <c r="E13" s="136">
        <f t="shared" si="3"/>
        <v>4</v>
      </c>
      <c r="F13" s="137">
        <f t="shared" si="4"/>
        <v>160000</v>
      </c>
      <c r="G13" s="138"/>
      <c r="H13" s="139"/>
      <c r="I13" s="137">
        <f t="shared" si="5"/>
        <v>160000</v>
      </c>
      <c r="J13" s="137">
        <f t="shared" si="6"/>
        <v>48320</v>
      </c>
      <c r="K13" s="137">
        <f t="shared" si="7"/>
        <v>19333.333333333332</v>
      </c>
      <c r="L13" s="137">
        <f t="shared" si="8"/>
        <v>2100</v>
      </c>
      <c r="M13" s="140">
        <f t="shared" si="9"/>
        <v>229753.33333333331</v>
      </c>
    </row>
    <row r="14" spans="1:15" ht="15.6" x14ac:dyDescent="0.3">
      <c r="A14" s="148" t="s">
        <v>817</v>
      </c>
      <c r="B14" s="134">
        <v>45017</v>
      </c>
      <c r="C14" s="134">
        <v>45138</v>
      </c>
      <c r="D14" s="135">
        <v>40000</v>
      </c>
      <c r="E14" s="136">
        <f t="shared" ref="E14" si="10">MONTH(C14)-MONTH(B14)+1</f>
        <v>4</v>
      </c>
      <c r="F14" s="137">
        <f t="shared" ref="F14" si="11">D14*E14</f>
        <v>160000</v>
      </c>
      <c r="G14" s="138"/>
      <c r="H14" s="139"/>
      <c r="I14" s="137">
        <f t="shared" ref="I14" si="12">F14+G14+H14</f>
        <v>160000</v>
      </c>
      <c r="J14" s="137">
        <f t="shared" ref="J14" si="13">I14*0.302</f>
        <v>48320</v>
      </c>
      <c r="K14" s="137">
        <f t="shared" ref="K14" si="14">58000/12*E14</f>
        <v>19333.333333333332</v>
      </c>
      <c r="L14" s="137">
        <f t="shared" ref="L14" si="15">6300/12*E14</f>
        <v>2100</v>
      </c>
      <c r="M14" s="140">
        <f t="shared" ref="M14" si="16">J14+K14+L14+I14</f>
        <v>229753.33333333331</v>
      </c>
    </row>
    <row r="15" spans="1:15" ht="15" thickBot="1" x14ac:dyDescent="0.35">
      <c r="A15" s="141" t="s">
        <v>160</v>
      </c>
      <c r="B15" s="142"/>
      <c r="C15" s="142"/>
      <c r="D15" s="143"/>
      <c r="E15" s="142"/>
      <c r="F15" s="144">
        <f>SUM(F10:F14)</f>
        <v>839350</v>
      </c>
      <c r="G15" s="144">
        <f>SUM(G10:G13)</f>
        <v>0</v>
      </c>
      <c r="H15" s="144"/>
      <c r="I15" s="145">
        <f>SUM(I10:I14)</f>
        <v>839350</v>
      </c>
      <c r="J15" s="145">
        <f>SUM(J10:J14)</f>
        <v>253483.7</v>
      </c>
      <c r="K15" s="145">
        <f>SUM(K10:K14)</f>
        <v>96666.666666666657</v>
      </c>
      <c r="L15" s="145">
        <f>SUM(L10:L14)</f>
        <v>10500</v>
      </c>
      <c r="M15" s="146">
        <f>J15+K15+L15+I15</f>
        <v>1200000.3666666667</v>
      </c>
      <c r="O15" s="149"/>
    </row>
    <row r="19" spans="1:5" ht="84.6" thickBot="1" x14ac:dyDescent="0.45">
      <c r="A19" s="159" t="s">
        <v>831</v>
      </c>
      <c r="C19" s="160">
        <v>100000</v>
      </c>
    </row>
    <row r="20" spans="1:5" ht="15" thickTop="1" x14ac:dyDescent="0.3">
      <c r="E20" s="157"/>
    </row>
    <row r="23" spans="1:5" ht="21" x14ac:dyDescent="0.4">
      <c r="A23" s="159" t="s">
        <v>207</v>
      </c>
    </row>
    <row r="25" spans="1:5" x14ac:dyDescent="0.3">
      <c r="A25" s="40"/>
      <c r="B25" s="40"/>
      <c r="C25" s="40"/>
      <c r="D25" s="103" t="s">
        <v>754</v>
      </c>
    </row>
    <row r="26" spans="1:5" x14ac:dyDescent="0.3">
      <c r="A26" s="40"/>
      <c r="B26" s="40"/>
      <c r="C26" s="40"/>
      <c r="D26" s="102" t="s">
        <v>753</v>
      </c>
    </row>
    <row r="27" spans="1:5" x14ac:dyDescent="0.3">
      <c r="A27" s="43">
        <v>1</v>
      </c>
      <c r="B27" s="44" t="s">
        <v>208</v>
      </c>
      <c r="C27" s="44"/>
      <c r="D27" s="65">
        <v>16000</v>
      </c>
    </row>
    <row r="28" spans="1:5" x14ac:dyDescent="0.3">
      <c r="A28" s="45">
        <v>2</v>
      </c>
      <c r="B28" s="46" t="s">
        <v>209</v>
      </c>
      <c r="C28" s="46"/>
      <c r="D28" s="65"/>
    </row>
    <row r="29" spans="1:5" x14ac:dyDescent="0.3">
      <c r="A29" s="43">
        <v>3</v>
      </c>
      <c r="B29" s="44" t="s">
        <v>210</v>
      </c>
      <c r="C29" s="44"/>
      <c r="D29" s="65">
        <v>80000</v>
      </c>
    </row>
    <row r="30" spans="1:5" x14ac:dyDescent="0.3">
      <c r="A30" s="45">
        <v>4</v>
      </c>
      <c r="B30" s="46" t="s">
        <v>211</v>
      </c>
      <c r="C30" s="46"/>
      <c r="D30" s="65">
        <v>4000</v>
      </c>
    </row>
    <row r="31" spans="1:5" x14ac:dyDescent="0.3">
      <c r="A31" s="43">
        <v>5</v>
      </c>
      <c r="B31" s="44" t="s">
        <v>212</v>
      </c>
      <c r="C31" s="44"/>
      <c r="D31" s="65"/>
    </row>
    <row r="32" spans="1:5" x14ac:dyDescent="0.3">
      <c r="A32" s="45">
        <v>6</v>
      </c>
      <c r="B32" s="46" t="s">
        <v>213</v>
      </c>
      <c r="C32" s="46"/>
      <c r="D32" s="65"/>
    </row>
    <row r="33" spans="1:4" x14ac:dyDescent="0.3">
      <c r="A33" s="43">
        <v>7</v>
      </c>
      <c r="B33" s="44" t="s">
        <v>355</v>
      </c>
      <c r="C33" s="44"/>
      <c r="D33" s="65"/>
    </row>
    <row r="34" spans="1:4" x14ac:dyDescent="0.3">
      <c r="A34" s="45">
        <v>8</v>
      </c>
      <c r="B34" s="46" t="s">
        <v>214</v>
      </c>
      <c r="C34" s="46"/>
      <c r="D34" s="65"/>
    </row>
    <row r="35" spans="1:4" ht="15" thickBot="1" x14ac:dyDescent="0.35">
      <c r="A35" s="40"/>
      <c r="B35" s="40"/>
      <c r="C35" s="40"/>
      <c r="D35" s="160">
        <f>SUM(D27:D34)</f>
        <v>100000</v>
      </c>
    </row>
    <row r="36" spans="1:4" ht="15" thickTop="1" x14ac:dyDescent="0.3">
      <c r="A36" s="40"/>
      <c r="B36" s="40"/>
      <c r="C36" s="40"/>
      <c r="D36" s="40"/>
    </row>
    <row r="37" spans="1:4" x14ac:dyDescent="0.3">
      <c r="A37" s="40"/>
      <c r="B37" s="40"/>
      <c r="C37" s="40"/>
      <c r="D37" s="40"/>
    </row>
    <row r="38" spans="1:4" x14ac:dyDescent="0.3">
      <c r="A38" s="40"/>
      <c r="B38" s="40"/>
      <c r="C38" s="40"/>
      <c r="D38" s="40"/>
    </row>
    <row r="39" spans="1:4" ht="15.6" x14ac:dyDescent="0.3">
      <c r="A39" s="21" t="s">
        <v>175</v>
      </c>
      <c r="B39" s="20"/>
      <c r="C39" s="20"/>
      <c r="D39" s="22"/>
    </row>
    <row r="40" spans="1:4" ht="15.6" x14ac:dyDescent="0.3">
      <c r="A40" s="161" t="s">
        <v>181</v>
      </c>
      <c r="B40" s="161"/>
      <c r="C40" s="161"/>
      <c r="D40" s="161"/>
    </row>
    <row r="41" spans="1:4" ht="15.6" x14ac:dyDescent="0.3">
      <c r="A41" s="161" t="s">
        <v>174</v>
      </c>
      <c r="B41" s="161"/>
      <c r="C41" s="161"/>
      <c r="D41" s="161"/>
    </row>
    <row r="42" spans="1:4" ht="15.6" x14ac:dyDescent="0.3">
      <c r="A42" s="161" t="s">
        <v>789</v>
      </c>
      <c r="B42" s="161"/>
      <c r="C42" s="161"/>
      <c r="D42" s="161"/>
    </row>
    <row r="43" spans="1:4" ht="15.6" x14ac:dyDescent="0.3">
      <c r="A43" s="161" t="s">
        <v>190</v>
      </c>
      <c r="B43" s="161"/>
      <c r="C43" s="161"/>
      <c r="D43" s="161"/>
    </row>
  </sheetData>
  <mergeCells count="14">
    <mergeCell ref="G1:H1"/>
    <mergeCell ref="G2:H2"/>
    <mergeCell ref="G3:H3"/>
    <mergeCell ref="G4:H4"/>
    <mergeCell ref="G5:H5"/>
    <mergeCell ref="A40:D40"/>
    <mergeCell ref="A41:D41"/>
    <mergeCell ref="A42:D42"/>
    <mergeCell ref="A43:D43"/>
    <mergeCell ref="A1:F1"/>
    <mergeCell ref="A2:F2"/>
    <mergeCell ref="A3:F3"/>
    <mergeCell ref="A4:F4"/>
    <mergeCell ref="A5:F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BJ181"/>
  <sheetViews>
    <sheetView showGridLines="0" zoomScale="85" zoomScaleNormal="85" workbookViewId="0">
      <pane ySplit="2" topLeftCell="A60" activePane="bottomLeft" state="frozen"/>
      <selection activeCell="C3" sqref="C3"/>
      <selection pane="bottomLeft" activeCell="C3" sqref="C3"/>
    </sheetView>
  </sheetViews>
  <sheetFormatPr defaultColWidth="10.5546875" defaultRowHeight="13.8" outlineLevelCol="1" x14ac:dyDescent="0.3"/>
  <cols>
    <col min="1" max="1" width="10.109375" style="98" bestFit="1" customWidth="1"/>
    <col min="2" max="2" width="69.109375" style="98" customWidth="1" outlineLevel="1"/>
    <col min="3" max="4" width="61.88671875" style="98" bestFit="1" customWidth="1"/>
    <col min="5" max="5" width="7.88671875" style="98" customWidth="1" outlineLevel="1"/>
    <col min="6" max="6" width="44.109375" style="98" customWidth="1" outlineLevel="1"/>
    <col min="7" max="7" width="25.5546875" style="98" customWidth="1" outlineLevel="1"/>
    <col min="8" max="8" width="33.5546875" style="98" customWidth="1"/>
    <col min="9" max="9" width="10.88671875" style="98" customWidth="1" outlineLevel="1"/>
    <col min="10" max="10" width="51.44140625" style="98" customWidth="1" outlineLevel="1"/>
    <col min="11" max="11" width="37.109375" style="98" customWidth="1" outlineLevel="1"/>
    <col min="12" max="12" width="45.109375" style="98" customWidth="1"/>
    <col min="13" max="13" width="8.109375" style="98" customWidth="1"/>
    <col min="14" max="14" width="28.109375" style="99" customWidth="1" outlineLevel="1"/>
    <col min="15" max="28" width="9.109375" style="100" customWidth="1"/>
    <col min="29" max="29" width="9.109375" style="100" customWidth="1" collapsed="1"/>
    <col min="30" max="34" width="5.88671875" style="100" customWidth="1" collapsed="1"/>
    <col min="35" max="35" width="9.109375" style="100" customWidth="1"/>
    <col min="36" max="40" width="6.88671875" style="100" customWidth="1"/>
    <col min="41" max="42" width="8.44140625" style="100" customWidth="1"/>
    <col min="43" max="44" width="6.88671875" style="100" customWidth="1"/>
    <col min="45" max="45" width="9.109375" style="100" customWidth="1"/>
    <col min="46" max="62" width="9.5546875" style="100" customWidth="1"/>
    <col min="63" max="16384" width="10.5546875" style="68"/>
  </cols>
  <sheetData>
    <row r="1" spans="1:62" x14ac:dyDescent="0.3">
      <c r="A1" s="66"/>
      <c r="B1" s="66"/>
      <c r="C1" s="66"/>
      <c r="D1" s="66" t="s">
        <v>246</v>
      </c>
      <c r="E1" s="66"/>
      <c r="F1" s="66"/>
      <c r="G1" s="66"/>
      <c r="H1" s="66"/>
      <c r="I1" s="66"/>
      <c r="J1" s="66"/>
      <c r="K1" s="66"/>
      <c r="L1" s="66"/>
      <c r="M1" s="66"/>
      <c r="N1" s="67"/>
      <c r="O1" s="66"/>
      <c r="P1" s="66"/>
      <c r="Q1" s="66"/>
      <c r="R1" s="66"/>
      <c r="S1" s="66"/>
      <c r="T1" s="66"/>
      <c r="U1" s="66"/>
      <c r="V1" s="66"/>
      <c r="W1" s="66"/>
      <c r="X1" s="66"/>
      <c r="Y1" s="66"/>
      <c r="Z1" s="66"/>
      <c r="AA1" s="66"/>
      <c r="AB1" s="66"/>
      <c r="AC1" s="66"/>
      <c r="AD1" s="66"/>
      <c r="AE1" s="66"/>
      <c r="AF1" s="66"/>
      <c r="AG1" s="66"/>
      <c r="AH1" s="66"/>
      <c r="AI1" s="66"/>
      <c r="AJ1" s="66"/>
      <c r="AK1" s="66"/>
      <c r="AL1" s="66"/>
      <c r="AM1" s="66"/>
      <c r="AN1" s="66"/>
      <c r="AO1" s="66"/>
      <c r="AP1" s="66"/>
      <c r="AQ1" s="66"/>
      <c r="AR1" s="66"/>
      <c r="AS1" s="66"/>
      <c r="AT1" s="66"/>
      <c r="AU1" s="66"/>
      <c r="AV1" s="66"/>
      <c r="AW1" s="66"/>
      <c r="AX1" s="66"/>
      <c r="AY1" s="66"/>
      <c r="AZ1" s="66"/>
      <c r="BA1" s="66"/>
      <c r="BB1" s="66"/>
      <c r="BC1" s="66"/>
      <c r="BD1" s="66"/>
      <c r="BE1" s="66"/>
      <c r="BF1" s="66"/>
      <c r="BG1" s="66"/>
      <c r="BH1" s="66"/>
      <c r="BI1" s="66"/>
      <c r="BJ1" s="66"/>
    </row>
    <row r="2" spans="1:62" ht="93" customHeight="1" x14ac:dyDescent="0.3">
      <c r="A2" s="69" t="s">
        <v>61</v>
      </c>
      <c r="B2" s="70" t="s">
        <v>247</v>
      </c>
      <c r="C2" s="70" t="s">
        <v>248</v>
      </c>
      <c r="D2" s="70" t="s">
        <v>108</v>
      </c>
      <c r="E2" s="71" t="s">
        <v>249</v>
      </c>
      <c r="F2" s="71" t="s">
        <v>250</v>
      </c>
      <c r="G2" s="71" t="s">
        <v>251</v>
      </c>
      <c r="H2" s="72" t="s">
        <v>252</v>
      </c>
      <c r="I2" s="71" t="s">
        <v>253</v>
      </c>
      <c r="J2" s="71" t="s">
        <v>254</v>
      </c>
      <c r="K2" s="71" t="s">
        <v>255</v>
      </c>
      <c r="L2" s="72" t="s">
        <v>256</v>
      </c>
      <c r="M2" s="71" t="s">
        <v>257</v>
      </c>
      <c r="N2" s="73" t="s">
        <v>258</v>
      </c>
      <c r="O2" s="74" t="s">
        <v>259</v>
      </c>
      <c r="P2" s="74" t="s">
        <v>260</v>
      </c>
      <c r="Q2" s="74" t="s">
        <v>261</v>
      </c>
      <c r="R2" s="74" t="s">
        <v>262</v>
      </c>
      <c r="S2" s="74" t="s">
        <v>263</v>
      </c>
      <c r="T2" s="74" t="s">
        <v>264</v>
      </c>
      <c r="U2" s="74" t="s">
        <v>265</v>
      </c>
      <c r="V2" s="74" t="s">
        <v>266</v>
      </c>
      <c r="W2" s="74" t="s">
        <v>267</v>
      </c>
      <c r="X2" s="74" t="s">
        <v>268</v>
      </c>
      <c r="Y2" s="74" t="s">
        <v>269</v>
      </c>
      <c r="Z2" s="74" t="s">
        <v>270</v>
      </c>
      <c r="AA2" s="74" t="s">
        <v>271</v>
      </c>
      <c r="AB2" s="74" t="s">
        <v>272</v>
      </c>
      <c r="AC2" s="74" t="s">
        <v>273</v>
      </c>
      <c r="AD2" s="74" t="s">
        <v>274</v>
      </c>
      <c r="AE2" s="74" t="s">
        <v>275</v>
      </c>
      <c r="AF2" s="74" t="s">
        <v>276</v>
      </c>
      <c r="AG2" s="74" t="s">
        <v>277</v>
      </c>
      <c r="AH2" s="74" t="s">
        <v>278</v>
      </c>
      <c r="AI2" s="74" t="s">
        <v>279</v>
      </c>
      <c r="AJ2" s="75" t="s">
        <v>280</v>
      </c>
      <c r="AK2" s="75" t="s">
        <v>281</v>
      </c>
      <c r="AL2" s="74" t="s">
        <v>282</v>
      </c>
      <c r="AM2" s="75" t="s">
        <v>283</v>
      </c>
      <c r="AN2" s="75" t="s">
        <v>284</v>
      </c>
      <c r="AO2" s="75" t="s">
        <v>285</v>
      </c>
      <c r="AP2" s="75" t="s">
        <v>286</v>
      </c>
      <c r="AQ2" s="74" t="s">
        <v>287</v>
      </c>
      <c r="AR2" s="74" t="s">
        <v>288</v>
      </c>
      <c r="AS2" s="75" t="s">
        <v>289</v>
      </c>
      <c r="AT2" s="75" t="s">
        <v>290</v>
      </c>
      <c r="AU2" s="75" t="s">
        <v>291</v>
      </c>
      <c r="AV2" s="75" t="s">
        <v>292</v>
      </c>
      <c r="AW2" s="75" t="s">
        <v>293</v>
      </c>
      <c r="AX2" s="75" t="s">
        <v>294</v>
      </c>
      <c r="AY2" s="75" t="s">
        <v>295</v>
      </c>
      <c r="AZ2" s="75" t="s">
        <v>202</v>
      </c>
      <c r="BA2" s="75" t="s">
        <v>296</v>
      </c>
      <c r="BB2" s="75" t="s">
        <v>297</v>
      </c>
      <c r="BC2" s="75" t="s">
        <v>298</v>
      </c>
      <c r="BD2" s="75" t="s">
        <v>299</v>
      </c>
      <c r="BE2" s="75" t="s">
        <v>300</v>
      </c>
      <c r="BF2" s="75" t="s">
        <v>195</v>
      </c>
      <c r="BG2" s="75" t="s">
        <v>301</v>
      </c>
      <c r="BH2" s="75" t="s">
        <v>302</v>
      </c>
      <c r="BI2" s="75" t="s">
        <v>303</v>
      </c>
      <c r="BJ2" s="75" t="s">
        <v>304</v>
      </c>
    </row>
    <row r="3" spans="1:62" s="80" customFormat="1" x14ac:dyDescent="0.3">
      <c r="A3" s="45">
        <v>101001</v>
      </c>
      <c r="B3" s="46" t="s">
        <v>305</v>
      </c>
      <c r="C3" s="46" t="s">
        <v>306</v>
      </c>
      <c r="D3" s="46" t="str">
        <f t="shared" ref="D3:D34" si="0">A3&amp;$D$1&amp;C3</f>
        <v>101001_Financing &amp; incomes</v>
      </c>
      <c r="E3" s="76">
        <v>100000</v>
      </c>
      <c r="F3" s="76" t="s">
        <v>245</v>
      </c>
      <c r="G3" s="76" t="s">
        <v>307</v>
      </c>
      <c r="H3" s="77" t="str">
        <f>E3&amp;$D$1&amp;G3</f>
        <v>100000_Financing / incomes</v>
      </c>
      <c r="I3" s="76">
        <v>101000</v>
      </c>
      <c r="J3" s="76" t="s">
        <v>245</v>
      </c>
      <c r="K3" s="76" t="s">
        <v>307</v>
      </c>
      <c r="L3" s="77" t="str">
        <f>I3&amp;$D$1&amp;K3</f>
        <v>101000_Financing / incomes</v>
      </c>
      <c r="M3" s="76" t="s">
        <v>308</v>
      </c>
      <c r="N3" s="78" t="s">
        <v>309</v>
      </c>
      <c r="O3" s="79" t="s">
        <v>310</v>
      </c>
      <c r="P3" s="79" t="s">
        <v>310</v>
      </c>
      <c r="Q3" s="79" t="s">
        <v>310</v>
      </c>
      <c r="R3" s="79" t="s">
        <v>310</v>
      </c>
      <c r="S3" s="79" t="s">
        <v>310</v>
      </c>
      <c r="T3" s="79" t="s">
        <v>310</v>
      </c>
      <c r="U3" s="79" t="s">
        <v>310</v>
      </c>
      <c r="V3" s="79" t="s">
        <v>310</v>
      </c>
      <c r="W3" s="79" t="s">
        <v>310</v>
      </c>
      <c r="X3" s="79" t="s">
        <v>310</v>
      </c>
      <c r="Y3" s="79" t="s">
        <v>310</v>
      </c>
      <c r="Z3" s="79" t="s">
        <v>310</v>
      </c>
      <c r="AA3" s="79" t="s">
        <v>310</v>
      </c>
      <c r="AB3" s="79" t="s">
        <v>310</v>
      </c>
      <c r="AC3" s="79" t="s">
        <v>310</v>
      </c>
      <c r="AD3" s="79" t="s">
        <v>310</v>
      </c>
      <c r="AE3" s="79" t="s">
        <v>310</v>
      </c>
      <c r="AF3" s="79" t="s">
        <v>310</v>
      </c>
      <c r="AG3" s="79" t="s">
        <v>310</v>
      </c>
      <c r="AH3" s="79" t="s">
        <v>310</v>
      </c>
      <c r="AI3" s="79" t="s">
        <v>310</v>
      </c>
      <c r="AJ3" s="79" t="s">
        <v>310</v>
      </c>
      <c r="AK3" s="79" t="s">
        <v>310</v>
      </c>
      <c r="AL3" s="79" t="s">
        <v>310</v>
      </c>
      <c r="AM3" s="79" t="s">
        <v>310</v>
      </c>
      <c r="AN3" s="79" t="s">
        <v>310</v>
      </c>
      <c r="AO3" s="79" t="s">
        <v>310</v>
      </c>
      <c r="AP3" s="79" t="s">
        <v>310</v>
      </c>
      <c r="AQ3" s="79" t="s">
        <v>310</v>
      </c>
      <c r="AR3" s="79" t="s">
        <v>310</v>
      </c>
      <c r="AS3" s="79" t="s">
        <v>310</v>
      </c>
      <c r="AT3" s="79" t="s">
        <v>310</v>
      </c>
      <c r="AU3" s="79" t="s">
        <v>310</v>
      </c>
      <c r="AV3" s="79" t="s">
        <v>310</v>
      </c>
      <c r="AW3" s="79" t="s">
        <v>310</v>
      </c>
      <c r="AX3" s="79" t="s">
        <v>310</v>
      </c>
      <c r="AY3" s="79" t="s">
        <v>310</v>
      </c>
      <c r="AZ3" s="79" t="s">
        <v>310</v>
      </c>
      <c r="BA3" s="79" t="s">
        <v>310</v>
      </c>
      <c r="BB3" s="79" t="s">
        <v>310</v>
      </c>
      <c r="BC3" s="79" t="s">
        <v>310</v>
      </c>
      <c r="BD3" s="79" t="s">
        <v>310</v>
      </c>
      <c r="BE3" s="79" t="s">
        <v>310</v>
      </c>
      <c r="BF3" s="79" t="s">
        <v>310</v>
      </c>
      <c r="BG3" s="79" t="s">
        <v>310</v>
      </c>
      <c r="BH3" s="79" t="s">
        <v>310</v>
      </c>
      <c r="BI3" s="79" t="s">
        <v>310</v>
      </c>
      <c r="BJ3" s="79" t="s">
        <v>310</v>
      </c>
    </row>
    <row r="4" spans="1:62" s="85" customFormat="1" x14ac:dyDescent="0.3">
      <c r="A4" s="43">
        <v>101002</v>
      </c>
      <c r="B4" s="44" t="s">
        <v>311</v>
      </c>
      <c r="C4" s="44" t="s">
        <v>312</v>
      </c>
      <c r="D4" s="44" t="str">
        <f t="shared" si="0"/>
        <v>101002_Income on R&amp;D</v>
      </c>
      <c r="E4" s="81">
        <v>100000</v>
      </c>
      <c r="F4" s="81" t="s">
        <v>245</v>
      </c>
      <c r="G4" s="44" t="s">
        <v>307</v>
      </c>
      <c r="H4" s="44" t="str">
        <f t="shared" ref="H4:H67" si="1">E4&amp;$D$1&amp;G4</f>
        <v>100000_Financing / incomes</v>
      </c>
      <c r="I4" s="81">
        <v>101000</v>
      </c>
      <c r="J4" s="81" t="s">
        <v>245</v>
      </c>
      <c r="K4" s="44" t="s">
        <v>307</v>
      </c>
      <c r="L4" s="44" t="str">
        <f t="shared" ref="L4:L67" si="2">I4&amp;$D$1&amp;K4</f>
        <v>101000_Financing / incomes</v>
      </c>
      <c r="M4" s="82" t="s">
        <v>308</v>
      </c>
      <c r="N4" s="83" t="s">
        <v>309</v>
      </c>
      <c r="O4" s="84" t="s">
        <v>310</v>
      </c>
      <c r="P4" s="84" t="s">
        <v>310</v>
      </c>
      <c r="Q4" s="84" t="s">
        <v>310</v>
      </c>
      <c r="R4" s="84" t="s">
        <v>310</v>
      </c>
      <c r="S4" s="84" t="s">
        <v>310</v>
      </c>
      <c r="T4" s="84" t="s">
        <v>310</v>
      </c>
      <c r="U4" s="84" t="s">
        <v>310</v>
      </c>
      <c r="V4" s="84" t="s">
        <v>310</v>
      </c>
      <c r="W4" s="84" t="s">
        <v>310</v>
      </c>
      <c r="X4" s="84" t="s">
        <v>310</v>
      </c>
      <c r="Y4" s="84" t="s">
        <v>310</v>
      </c>
      <c r="Z4" s="84" t="s">
        <v>310</v>
      </c>
      <c r="AA4" s="84" t="s">
        <v>310</v>
      </c>
      <c r="AB4" s="84" t="s">
        <v>310</v>
      </c>
      <c r="AC4" s="84" t="s">
        <v>310</v>
      </c>
      <c r="AD4" s="84" t="s">
        <v>310</v>
      </c>
      <c r="AE4" s="84" t="s">
        <v>310</v>
      </c>
      <c r="AF4" s="84" t="s">
        <v>310</v>
      </c>
      <c r="AG4" s="84" t="s">
        <v>310</v>
      </c>
      <c r="AH4" s="84" t="s">
        <v>310</v>
      </c>
      <c r="AI4" s="84" t="s">
        <v>310</v>
      </c>
      <c r="AJ4" s="84" t="s">
        <v>310</v>
      </c>
      <c r="AK4" s="84" t="s">
        <v>310</v>
      </c>
      <c r="AL4" s="84" t="s">
        <v>310</v>
      </c>
      <c r="AM4" s="84" t="s">
        <v>310</v>
      </c>
      <c r="AN4" s="84" t="s">
        <v>310</v>
      </c>
      <c r="AO4" s="84" t="s">
        <v>310</v>
      </c>
      <c r="AP4" s="84" t="s">
        <v>310</v>
      </c>
      <c r="AQ4" s="84" t="s">
        <v>310</v>
      </c>
      <c r="AR4" s="84" t="s">
        <v>310</v>
      </c>
      <c r="AS4" s="84" t="s">
        <v>310</v>
      </c>
      <c r="AT4" s="84" t="s">
        <v>310</v>
      </c>
      <c r="AU4" s="84" t="s">
        <v>310</v>
      </c>
      <c r="AV4" s="84" t="s">
        <v>310</v>
      </c>
      <c r="AW4" s="84" t="s">
        <v>310</v>
      </c>
      <c r="AX4" s="84" t="s">
        <v>310</v>
      </c>
      <c r="AY4" s="84" t="s">
        <v>310</v>
      </c>
      <c r="AZ4" s="84" t="s">
        <v>310</v>
      </c>
      <c r="BA4" s="84" t="s">
        <v>310</v>
      </c>
      <c r="BB4" s="84" t="s">
        <v>310</v>
      </c>
      <c r="BC4" s="84" t="s">
        <v>310</v>
      </c>
      <c r="BD4" s="84" t="s">
        <v>310</v>
      </c>
      <c r="BE4" s="84" t="s">
        <v>310</v>
      </c>
      <c r="BF4" s="84" t="s">
        <v>310</v>
      </c>
      <c r="BG4" s="84" t="s">
        <v>310</v>
      </c>
      <c r="BH4" s="84" t="s">
        <v>310</v>
      </c>
      <c r="BI4" s="84" t="s">
        <v>310</v>
      </c>
      <c r="BJ4" s="84" t="s">
        <v>310</v>
      </c>
    </row>
    <row r="5" spans="1:62" s="80" customFormat="1" x14ac:dyDescent="0.3">
      <c r="A5" s="45">
        <v>101003</v>
      </c>
      <c r="B5" s="46" t="s">
        <v>313</v>
      </c>
      <c r="C5" s="46" t="s">
        <v>314</v>
      </c>
      <c r="D5" s="46" t="str">
        <f t="shared" si="0"/>
        <v>101003_Income on knowledge-intensive work and services</v>
      </c>
      <c r="E5" s="76">
        <v>100000</v>
      </c>
      <c r="F5" s="76" t="s">
        <v>245</v>
      </c>
      <c r="G5" s="76" t="s">
        <v>307</v>
      </c>
      <c r="H5" s="77" t="str">
        <f t="shared" si="1"/>
        <v>100000_Financing / incomes</v>
      </c>
      <c r="I5" s="76">
        <v>101000</v>
      </c>
      <c r="J5" s="76" t="s">
        <v>245</v>
      </c>
      <c r="K5" s="76" t="s">
        <v>307</v>
      </c>
      <c r="L5" s="77" t="str">
        <f t="shared" si="2"/>
        <v>101000_Financing / incomes</v>
      </c>
      <c r="M5" s="76" t="s">
        <v>308</v>
      </c>
      <c r="N5" s="78" t="s">
        <v>309</v>
      </c>
      <c r="O5" s="79" t="s">
        <v>310</v>
      </c>
      <c r="P5" s="79" t="s">
        <v>310</v>
      </c>
      <c r="Q5" s="79" t="s">
        <v>310</v>
      </c>
      <c r="R5" s="79" t="s">
        <v>310</v>
      </c>
      <c r="S5" s="79" t="s">
        <v>310</v>
      </c>
      <c r="T5" s="79" t="s">
        <v>310</v>
      </c>
      <c r="U5" s="79" t="s">
        <v>310</v>
      </c>
      <c r="V5" s="79" t="s">
        <v>310</v>
      </c>
      <c r="W5" s="79" t="s">
        <v>310</v>
      </c>
      <c r="X5" s="79" t="s">
        <v>310</v>
      </c>
      <c r="Y5" s="79" t="s">
        <v>310</v>
      </c>
      <c r="Z5" s="79" t="s">
        <v>310</v>
      </c>
      <c r="AA5" s="79" t="s">
        <v>310</v>
      </c>
      <c r="AB5" s="79" t="s">
        <v>310</v>
      </c>
      <c r="AC5" s="79" t="s">
        <v>310</v>
      </c>
      <c r="AD5" s="79" t="s">
        <v>310</v>
      </c>
      <c r="AE5" s="79" t="s">
        <v>310</v>
      </c>
      <c r="AF5" s="79" t="s">
        <v>310</v>
      </c>
      <c r="AG5" s="79" t="s">
        <v>310</v>
      </c>
      <c r="AH5" s="79" t="s">
        <v>310</v>
      </c>
      <c r="AI5" s="79" t="s">
        <v>310</v>
      </c>
      <c r="AJ5" s="79" t="s">
        <v>310</v>
      </c>
      <c r="AK5" s="79" t="s">
        <v>310</v>
      </c>
      <c r="AL5" s="79" t="s">
        <v>310</v>
      </c>
      <c r="AM5" s="79" t="s">
        <v>310</v>
      </c>
      <c r="AN5" s="79" t="s">
        <v>310</v>
      </c>
      <c r="AO5" s="79" t="s">
        <v>310</v>
      </c>
      <c r="AP5" s="79" t="s">
        <v>310</v>
      </c>
      <c r="AQ5" s="79" t="s">
        <v>310</v>
      </c>
      <c r="AR5" s="79" t="s">
        <v>310</v>
      </c>
      <c r="AS5" s="79" t="s">
        <v>310</v>
      </c>
      <c r="AT5" s="79" t="s">
        <v>310</v>
      </c>
      <c r="AU5" s="79" t="s">
        <v>310</v>
      </c>
      <c r="AV5" s="79" t="s">
        <v>310</v>
      </c>
      <c r="AW5" s="79" t="s">
        <v>310</v>
      </c>
      <c r="AX5" s="79" t="s">
        <v>310</v>
      </c>
      <c r="AY5" s="79" t="s">
        <v>310</v>
      </c>
      <c r="AZ5" s="79" t="s">
        <v>310</v>
      </c>
      <c r="BA5" s="79" t="s">
        <v>310</v>
      </c>
      <c r="BB5" s="79" t="s">
        <v>310</v>
      </c>
      <c r="BC5" s="79" t="s">
        <v>310</v>
      </c>
      <c r="BD5" s="79" t="s">
        <v>310</v>
      </c>
      <c r="BE5" s="79" t="s">
        <v>310</v>
      </c>
      <c r="BF5" s="79" t="s">
        <v>310</v>
      </c>
      <c r="BG5" s="79" t="s">
        <v>310</v>
      </c>
      <c r="BH5" s="79" t="s">
        <v>310</v>
      </c>
      <c r="BI5" s="79" t="s">
        <v>310</v>
      </c>
      <c r="BJ5" s="79" t="s">
        <v>310</v>
      </c>
    </row>
    <row r="6" spans="1:62" s="85" customFormat="1" x14ac:dyDescent="0.3">
      <c r="A6" s="43">
        <v>201001</v>
      </c>
      <c r="B6" s="44" t="s">
        <v>28</v>
      </c>
      <c r="C6" s="44" t="s">
        <v>315</v>
      </c>
      <c r="D6" s="44" t="str">
        <f t="shared" si="0"/>
        <v>201001_Representative expenses</v>
      </c>
      <c r="E6" s="81">
        <v>200000</v>
      </c>
      <c r="F6" s="81" t="s">
        <v>204</v>
      </c>
      <c r="G6" s="44" t="s">
        <v>196</v>
      </c>
      <c r="H6" s="44" t="str">
        <f t="shared" si="1"/>
        <v>200000_Institute development costs</v>
      </c>
      <c r="I6" s="81">
        <v>201000</v>
      </c>
      <c r="J6" s="81" t="s">
        <v>28</v>
      </c>
      <c r="K6" s="44" t="s">
        <v>315</v>
      </c>
      <c r="L6" s="44" t="str">
        <f t="shared" si="2"/>
        <v>201000_Representative expenses</v>
      </c>
      <c r="M6" s="82" t="s">
        <v>308</v>
      </c>
      <c r="N6" s="83" t="s">
        <v>203</v>
      </c>
      <c r="O6" s="84" t="s">
        <v>310</v>
      </c>
      <c r="P6" s="84" t="s">
        <v>310</v>
      </c>
      <c r="Q6" s="84" t="s">
        <v>310</v>
      </c>
      <c r="R6" s="84" t="s">
        <v>310</v>
      </c>
      <c r="S6" s="84" t="s">
        <v>310</v>
      </c>
      <c r="T6" s="84" t="s">
        <v>310</v>
      </c>
      <c r="U6" s="84" t="s">
        <v>310</v>
      </c>
      <c r="V6" s="84" t="s">
        <v>310</v>
      </c>
      <c r="W6" s="84" t="s">
        <v>310</v>
      </c>
      <c r="X6" s="84" t="s">
        <v>310</v>
      </c>
      <c r="Y6" s="84" t="s">
        <v>310</v>
      </c>
      <c r="Z6" s="84" t="s">
        <v>310</v>
      </c>
      <c r="AA6" s="84" t="s">
        <v>310</v>
      </c>
      <c r="AB6" s="84" t="s">
        <v>310</v>
      </c>
      <c r="AC6" s="84" t="s">
        <v>310</v>
      </c>
      <c r="AD6" s="84" t="s">
        <v>310</v>
      </c>
      <c r="AE6" s="84" t="s">
        <v>310</v>
      </c>
      <c r="AF6" s="84" t="s">
        <v>310</v>
      </c>
      <c r="AG6" s="84" t="s">
        <v>310</v>
      </c>
      <c r="AH6" s="84" t="s">
        <v>310</v>
      </c>
      <c r="AI6" s="84" t="s">
        <v>310</v>
      </c>
      <c r="AJ6" s="84" t="s">
        <v>310</v>
      </c>
      <c r="AK6" s="84" t="s">
        <v>310</v>
      </c>
      <c r="AL6" s="84" t="s">
        <v>310</v>
      </c>
      <c r="AM6" s="84" t="s">
        <v>310</v>
      </c>
      <c r="AN6" s="84" t="s">
        <v>310</v>
      </c>
      <c r="AO6" s="84" t="s">
        <v>310</v>
      </c>
      <c r="AP6" s="84" t="s">
        <v>310</v>
      </c>
      <c r="AQ6" s="84" t="s">
        <v>310</v>
      </c>
      <c r="AR6" s="84" t="s">
        <v>310</v>
      </c>
      <c r="AS6" s="84" t="s">
        <v>310</v>
      </c>
      <c r="AT6" s="84" t="s">
        <v>310</v>
      </c>
      <c r="AU6" s="84" t="s">
        <v>310</v>
      </c>
      <c r="AV6" s="84" t="s">
        <v>310</v>
      </c>
      <c r="AW6" s="84" t="s">
        <v>310</v>
      </c>
      <c r="AX6" s="84" t="s">
        <v>310</v>
      </c>
      <c r="AY6" s="84" t="s">
        <v>310</v>
      </c>
      <c r="AZ6" s="84" t="s">
        <v>310</v>
      </c>
      <c r="BA6" s="84" t="s">
        <v>310</v>
      </c>
      <c r="BB6" s="84" t="s">
        <v>310</v>
      </c>
      <c r="BC6" s="84" t="s">
        <v>310</v>
      </c>
      <c r="BD6" s="84" t="s">
        <v>310</v>
      </c>
      <c r="BE6" s="84" t="s">
        <v>310</v>
      </c>
      <c r="BF6" s="84" t="s">
        <v>310</v>
      </c>
      <c r="BG6" s="84" t="s">
        <v>310</v>
      </c>
      <c r="BH6" s="84" t="s">
        <v>310</v>
      </c>
      <c r="BI6" s="84" t="s">
        <v>310</v>
      </c>
      <c r="BJ6" s="84" t="s">
        <v>310</v>
      </c>
    </row>
    <row r="7" spans="1:62" s="80" customFormat="1" x14ac:dyDescent="0.3">
      <c r="A7" s="45">
        <v>201002</v>
      </c>
      <c r="B7" s="46" t="s">
        <v>43</v>
      </c>
      <c r="C7" s="46" t="s">
        <v>316</v>
      </c>
      <c r="D7" s="46" t="str">
        <f t="shared" si="0"/>
        <v>201002_Membership fees (scientific and professional communities)</v>
      </c>
      <c r="E7" s="76">
        <v>200000</v>
      </c>
      <c r="F7" s="76" t="s">
        <v>204</v>
      </c>
      <c r="G7" s="76" t="s">
        <v>196</v>
      </c>
      <c r="H7" s="77" t="str">
        <f t="shared" si="1"/>
        <v>200000_Institute development costs</v>
      </c>
      <c r="I7" s="76">
        <v>201000</v>
      </c>
      <c r="J7" s="76" t="s">
        <v>28</v>
      </c>
      <c r="K7" s="76" t="s">
        <v>315</v>
      </c>
      <c r="L7" s="77" t="str">
        <f t="shared" si="2"/>
        <v>201000_Representative expenses</v>
      </c>
      <c r="M7" s="76" t="s">
        <v>308</v>
      </c>
      <c r="N7" s="78" t="s">
        <v>203</v>
      </c>
      <c r="O7" s="79" t="s">
        <v>310</v>
      </c>
      <c r="P7" s="79" t="s">
        <v>310</v>
      </c>
      <c r="Q7" s="79" t="s">
        <v>310</v>
      </c>
      <c r="R7" s="79" t="s">
        <v>310</v>
      </c>
      <c r="S7" s="79" t="s">
        <v>310</v>
      </c>
      <c r="T7" s="79" t="s">
        <v>310</v>
      </c>
      <c r="U7" s="79" t="s">
        <v>310</v>
      </c>
      <c r="V7" s="79" t="s">
        <v>310</v>
      </c>
      <c r="W7" s="79" t="s">
        <v>310</v>
      </c>
      <c r="X7" s="79" t="s">
        <v>310</v>
      </c>
      <c r="Y7" s="79" t="s">
        <v>310</v>
      </c>
      <c r="Z7" s="79" t="s">
        <v>310</v>
      </c>
      <c r="AA7" s="79" t="s">
        <v>310</v>
      </c>
      <c r="AB7" s="79" t="s">
        <v>310</v>
      </c>
      <c r="AC7" s="79" t="s">
        <v>310</v>
      </c>
      <c r="AD7" s="79" t="s">
        <v>310</v>
      </c>
      <c r="AE7" s="79" t="s">
        <v>310</v>
      </c>
      <c r="AF7" s="79" t="s">
        <v>310</v>
      </c>
      <c r="AG7" s="79" t="s">
        <v>310</v>
      </c>
      <c r="AH7" s="79" t="s">
        <v>310</v>
      </c>
      <c r="AI7" s="79" t="s">
        <v>310</v>
      </c>
      <c r="AJ7" s="79" t="s">
        <v>310</v>
      </c>
      <c r="AK7" s="79" t="s">
        <v>310</v>
      </c>
      <c r="AL7" s="79" t="s">
        <v>310</v>
      </c>
      <c r="AM7" s="79" t="s">
        <v>203</v>
      </c>
      <c r="AN7" s="79" t="s">
        <v>203</v>
      </c>
      <c r="AO7" s="79" t="s">
        <v>310</v>
      </c>
      <c r="AP7" s="79" t="s">
        <v>310</v>
      </c>
      <c r="AQ7" s="79" t="s">
        <v>310</v>
      </c>
      <c r="AR7" s="79" t="s">
        <v>310</v>
      </c>
      <c r="AS7" s="79" t="s">
        <v>310</v>
      </c>
      <c r="AT7" s="79" t="s">
        <v>310</v>
      </c>
      <c r="AU7" s="79" t="s">
        <v>310</v>
      </c>
      <c r="AV7" s="79" t="s">
        <v>310</v>
      </c>
      <c r="AW7" s="79" t="s">
        <v>310</v>
      </c>
      <c r="AX7" s="79" t="s">
        <v>310</v>
      </c>
      <c r="AY7" s="79" t="s">
        <v>310</v>
      </c>
      <c r="AZ7" s="79" t="s">
        <v>310</v>
      </c>
      <c r="BA7" s="79" t="s">
        <v>310</v>
      </c>
      <c r="BB7" s="79" t="s">
        <v>310</v>
      </c>
      <c r="BC7" s="79" t="s">
        <v>310</v>
      </c>
      <c r="BD7" s="79" t="s">
        <v>310</v>
      </c>
      <c r="BE7" s="79" t="s">
        <v>310</v>
      </c>
      <c r="BF7" s="79" t="s">
        <v>310</v>
      </c>
      <c r="BG7" s="79" t="s">
        <v>310</v>
      </c>
      <c r="BH7" s="79" t="s">
        <v>310</v>
      </c>
      <c r="BI7" s="79" t="s">
        <v>310</v>
      </c>
      <c r="BJ7" s="79" t="s">
        <v>310</v>
      </c>
    </row>
    <row r="8" spans="1:62" s="85" customFormat="1" x14ac:dyDescent="0.3">
      <c r="A8" s="43">
        <v>202001</v>
      </c>
      <c r="B8" s="44" t="s">
        <v>317</v>
      </c>
      <c r="C8" s="44" t="s">
        <v>318</v>
      </c>
      <c r="D8" s="44" t="str">
        <f t="shared" si="0"/>
        <v>202001_Marketing research</v>
      </c>
      <c r="E8" s="81">
        <v>200000</v>
      </c>
      <c r="F8" s="81" t="s">
        <v>204</v>
      </c>
      <c r="G8" s="44" t="s">
        <v>196</v>
      </c>
      <c r="H8" s="44" t="str">
        <f t="shared" si="1"/>
        <v>200000_Institute development costs</v>
      </c>
      <c r="I8" s="81">
        <v>202000</v>
      </c>
      <c r="J8" s="81" t="s">
        <v>205</v>
      </c>
      <c r="K8" s="44" t="s">
        <v>319</v>
      </c>
      <c r="L8" s="44" t="str">
        <f t="shared" si="2"/>
        <v>202000_PR and marketing</v>
      </c>
      <c r="M8" s="82" t="s">
        <v>308</v>
      </c>
      <c r="N8" s="83" t="s">
        <v>203</v>
      </c>
      <c r="O8" s="84" t="s">
        <v>203</v>
      </c>
      <c r="P8" s="84" t="s">
        <v>203</v>
      </c>
      <c r="Q8" s="84" t="s">
        <v>203</v>
      </c>
      <c r="R8" s="84" t="s">
        <v>203</v>
      </c>
      <c r="S8" s="84" t="s">
        <v>203</v>
      </c>
      <c r="T8" s="84" t="s">
        <v>203</v>
      </c>
      <c r="U8" s="84" t="s">
        <v>203</v>
      </c>
      <c r="V8" s="84" t="s">
        <v>203</v>
      </c>
      <c r="W8" s="84" t="s">
        <v>203</v>
      </c>
      <c r="X8" s="84" t="s">
        <v>203</v>
      </c>
      <c r="Y8" s="84" t="s">
        <v>203</v>
      </c>
      <c r="Z8" s="84" t="s">
        <v>203</v>
      </c>
      <c r="AA8" s="84" t="s">
        <v>203</v>
      </c>
      <c r="AB8" s="84" t="s">
        <v>203</v>
      </c>
      <c r="AC8" s="84" t="s">
        <v>203</v>
      </c>
      <c r="AD8" s="84" t="s">
        <v>203</v>
      </c>
      <c r="AE8" s="84" t="s">
        <v>203</v>
      </c>
      <c r="AF8" s="84" t="s">
        <v>203</v>
      </c>
      <c r="AG8" s="84" t="s">
        <v>203</v>
      </c>
      <c r="AH8" s="84" t="s">
        <v>203</v>
      </c>
      <c r="AI8" s="84" t="s">
        <v>203</v>
      </c>
      <c r="AJ8" s="84" t="s">
        <v>203</v>
      </c>
      <c r="AK8" s="84" t="s">
        <v>310</v>
      </c>
      <c r="AL8" s="84" t="s">
        <v>203</v>
      </c>
      <c r="AM8" s="84" t="s">
        <v>310</v>
      </c>
      <c r="AN8" s="84" t="s">
        <v>310</v>
      </c>
      <c r="AO8" s="84" t="s">
        <v>203</v>
      </c>
      <c r="AP8" s="84" t="s">
        <v>310</v>
      </c>
      <c r="AQ8" s="84" t="s">
        <v>203</v>
      </c>
      <c r="AR8" s="84" t="s">
        <v>203</v>
      </c>
      <c r="AS8" s="84" t="s">
        <v>203</v>
      </c>
      <c r="AT8" s="84" t="s">
        <v>203</v>
      </c>
      <c r="AU8" s="84" t="s">
        <v>203</v>
      </c>
      <c r="AV8" s="84" t="s">
        <v>203</v>
      </c>
      <c r="AW8" s="84" t="s">
        <v>203</v>
      </c>
      <c r="AX8" s="84" t="s">
        <v>203</v>
      </c>
      <c r="AY8" s="84" t="s">
        <v>203</v>
      </c>
      <c r="AZ8" s="84" t="s">
        <v>203</v>
      </c>
      <c r="BA8" s="84" t="s">
        <v>203</v>
      </c>
      <c r="BB8" s="84" t="s">
        <v>203</v>
      </c>
      <c r="BC8" s="84" t="s">
        <v>203</v>
      </c>
      <c r="BD8" s="84" t="s">
        <v>203</v>
      </c>
      <c r="BE8" s="84" t="s">
        <v>203</v>
      </c>
      <c r="BF8" s="84" t="s">
        <v>203</v>
      </c>
      <c r="BG8" s="84" t="s">
        <v>203</v>
      </c>
      <c r="BH8" s="84" t="s">
        <v>203</v>
      </c>
      <c r="BI8" s="84" t="s">
        <v>203</v>
      </c>
      <c r="BJ8" s="84" t="s">
        <v>203</v>
      </c>
    </row>
    <row r="9" spans="1:62" s="80" customFormat="1" x14ac:dyDescent="0.3">
      <c r="A9" s="45">
        <v>202002</v>
      </c>
      <c r="B9" s="46" t="s">
        <v>320</v>
      </c>
      <c r="C9" s="46" t="s">
        <v>321</v>
      </c>
      <c r="D9" s="46" t="str">
        <f t="shared" si="0"/>
        <v>202002_Advertising</v>
      </c>
      <c r="E9" s="76">
        <v>200000</v>
      </c>
      <c r="F9" s="76" t="s">
        <v>204</v>
      </c>
      <c r="G9" s="76" t="s">
        <v>196</v>
      </c>
      <c r="H9" s="77" t="str">
        <f t="shared" si="1"/>
        <v>200000_Institute development costs</v>
      </c>
      <c r="I9" s="76">
        <v>202000</v>
      </c>
      <c r="J9" s="76" t="s">
        <v>205</v>
      </c>
      <c r="K9" s="76" t="s">
        <v>319</v>
      </c>
      <c r="L9" s="77" t="str">
        <f t="shared" si="2"/>
        <v>202000_PR and marketing</v>
      </c>
      <c r="M9" s="76" t="s">
        <v>308</v>
      </c>
      <c r="N9" s="78" t="s">
        <v>322</v>
      </c>
      <c r="O9" s="79" t="s">
        <v>203</v>
      </c>
      <c r="P9" s="79" t="s">
        <v>203</v>
      </c>
      <c r="Q9" s="79" t="s">
        <v>203</v>
      </c>
      <c r="R9" s="79" t="s">
        <v>203</v>
      </c>
      <c r="S9" s="79" t="s">
        <v>203</v>
      </c>
      <c r="T9" s="79" t="s">
        <v>203</v>
      </c>
      <c r="U9" s="79" t="s">
        <v>203</v>
      </c>
      <c r="V9" s="79" t="s">
        <v>203</v>
      </c>
      <c r="W9" s="79" t="s">
        <v>203</v>
      </c>
      <c r="X9" s="79" t="s">
        <v>203</v>
      </c>
      <c r="Y9" s="79" t="s">
        <v>203</v>
      </c>
      <c r="Z9" s="79" t="s">
        <v>203</v>
      </c>
      <c r="AA9" s="79" t="s">
        <v>203</v>
      </c>
      <c r="AB9" s="79" t="s">
        <v>203</v>
      </c>
      <c r="AC9" s="79" t="s">
        <v>203</v>
      </c>
      <c r="AD9" s="79" t="s">
        <v>203</v>
      </c>
      <c r="AE9" s="79" t="s">
        <v>203</v>
      </c>
      <c r="AF9" s="79" t="s">
        <v>203</v>
      </c>
      <c r="AG9" s="79" t="s">
        <v>203</v>
      </c>
      <c r="AH9" s="79" t="s">
        <v>203</v>
      </c>
      <c r="AI9" s="79" t="s">
        <v>203</v>
      </c>
      <c r="AJ9" s="79" t="s">
        <v>203</v>
      </c>
      <c r="AK9" s="79" t="s">
        <v>203</v>
      </c>
      <c r="AL9" s="79" t="s">
        <v>203</v>
      </c>
      <c r="AM9" s="79" t="s">
        <v>310</v>
      </c>
      <c r="AN9" s="79" t="s">
        <v>310</v>
      </c>
      <c r="AO9" s="79" t="s">
        <v>310</v>
      </c>
      <c r="AP9" s="79" t="s">
        <v>310</v>
      </c>
      <c r="AQ9" s="79" t="s">
        <v>203</v>
      </c>
      <c r="AR9" s="79" t="s">
        <v>203</v>
      </c>
      <c r="AS9" s="79" t="s">
        <v>203</v>
      </c>
      <c r="AT9" s="79" t="s">
        <v>203</v>
      </c>
      <c r="AU9" s="79" t="s">
        <v>203</v>
      </c>
      <c r="AV9" s="79" t="s">
        <v>203</v>
      </c>
      <c r="AW9" s="79" t="s">
        <v>203</v>
      </c>
      <c r="AX9" s="79" t="s">
        <v>203</v>
      </c>
      <c r="AY9" s="79" t="s">
        <v>203</v>
      </c>
      <c r="AZ9" s="79" t="s">
        <v>203</v>
      </c>
      <c r="BA9" s="79" t="s">
        <v>203</v>
      </c>
      <c r="BB9" s="79" t="s">
        <v>203</v>
      </c>
      <c r="BC9" s="79" t="s">
        <v>203</v>
      </c>
      <c r="BD9" s="79" t="s">
        <v>203</v>
      </c>
      <c r="BE9" s="79" t="s">
        <v>203</v>
      </c>
      <c r="BF9" s="79" t="s">
        <v>203</v>
      </c>
      <c r="BG9" s="79" t="s">
        <v>203</v>
      </c>
      <c r="BH9" s="79" t="s">
        <v>203</v>
      </c>
      <c r="BI9" s="79" t="s">
        <v>203</v>
      </c>
      <c r="BJ9" s="79" t="s">
        <v>203</v>
      </c>
    </row>
    <row r="10" spans="1:62" s="85" customFormat="1" x14ac:dyDescent="0.3">
      <c r="A10" s="43">
        <v>202003</v>
      </c>
      <c r="B10" s="44" t="s">
        <v>323</v>
      </c>
      <c r="C10" s="44" t="s">
        <v>324</v>
      </c>
      <c r="D10" s="44" t="str">
        <f t="shared" si="0"/>
        <v>202003_PR services</v>
      </c>
      <c r="E10" s="81">
        <v>200000</v>
      </c>
      <c r="F10" s="81" t="s">
        <v>204</v>
      </c>
      <c r="G10" s="44" t="s">
        <v>196</v>
      </c>
      <c r="H10" s="44" t="str">
        <f t="shared" si="1"/>
        <v>200000_Institute development costs</v>
      </c>
      <c r="I10" s="81">
        <v>202000</v>
      </c>
      <c r="J10" s="81" t="s">
        <v>205</v>
      </c>
      <c r="K10" s="44" t="s">
        <v>319</v>
      </c>
      <c r="L10" s="44" t="str">
        <f t="shared" si="2"/>
        <v>202000_PR and marketing</v>
      </c>
      <c r="M10" s="82" t="s">
        <v>308</v>
      </c>
      <c r="N10" s="83" t="s">
        <v>203</v>
      </c>
      <c r="O10" s="84" t="s">
        <v>203</v>
      </c>
      <c r="P10" s="84" t="s">
        <v>203</v>
      </c>
      <c r="Q10" s="84" t="s">
        <v>203</v>
      </c>
      <c r="R10" s="84" t="s">
        <v>203</v>
      </c>
      <c r="S10" s="84" t="s">
        <v>203</v>
      </c>
      <c r="T10" s="84" t="s">
        <v>203</v>
      </c>
      <c r="U10" s="84" t="s">
        <v>203</v>
      </c>
      <c r="V10" s="84" t="s">
        <v>203</v>
      </c>
      <c r="W10" s="84" t="s">
        <v>203</v>
      </c>
      <c r="X10" s="84" t="s">
        <v>203</v>
      </c>
      <c r="Y10" s="84" t="s">
        <v>203</v>
      </c>
      <c r="Z10" s="84" t="s">
        <v>203</v>
      </c>
      <c r="AA10" s="84" t="s">
        <v>203</v>
      </c>
      <c r="AB10" s="84" t="s">
        <v>203</v>
      </c>
      <c r="AC10" s="84" t="s">
        <v>203</v>
      </c>
      <c r="AD10" s="84" t="s">
        <v>203</v>
      </c>
      <c r="AE10" s="84" t="s">
        <v>203</v>
      </c>
      <c r="AF10" s="84" t="s">
        <v>203</v>
      </c>
      <c r="AG10" s="84" t="s">
        <v>203</v>
      </c>
      <c r="AH10" s="84" t="s">
        <v>203</v>
      </c>
      <c r="AI10" s="84" t="s">
        <v>203</v>
      </c>
      <c r="AJ10" s="84" t="s">
        <v>203</v>
      </c>
      <c r="AK10" s="84" t="s">
        <v>203</v>
      </c>
      <c r="AL10" s="84" t="s">
        <v>203</v>
      </c>
      <c r="AM10" s="84" t="s">
        <v>310</v>
      </c>
      <c r="AN10" s="84" t="s">
        <v>310</v>
      </c>
      <c r="AO10" s="84" t="s">
        <v>203</v>
      </c>
      <c r="AP10" s="84" t="s">
        <v>310</v>
      </c>
      <c r="AQ10" s="84" t="s">
        <v>203</v>
      </c>
      <c r="AR10" s="84" t="s">
        <v>203</v>
      </c>
      <c r="AS10" s="84" t="s">
        <v>203</v>
      </c>
      <c r="AT10" s="84" t="s">
        <v>203</v>
      </c>
      <c r="AU10" s="84" t="s">
        <v>203</v>
      </c>
      <c r="AV10" s="84" t="s">
        <v>203</v>
      </c>
      <c r="AW10" s="84" t="s">
        <v>203</v>
      </c>
      <c r="AX10" s="84" t="s">
        <v>203</v>
      </c>
      <c r="AY10" s="84" t="s">
        <v>203</v>
      </c>
      <c r="AZ10" s="84" t="s">
        <v>203</v>
      </c>
      <c r="BA10" s="84" t="s">
        <v>203</v>
      </c>
      <c r="BB10" s="84" t="s">
        <v>203</v>
      </c>
      <c r="BC10" s="84" t="s">
        <v>203</v>
      </c>
      <c r="BD10" s="84" t="s">
        <v>203</v>
      </c>
      <c r="BE10" s="84" t="s">
        <v>203</v>
      </c>
      <c r="BF10" s="84" t="s">
        <v>203</v>
      </c>
      <c r="BG10" s="84" t="s">
        <v>203</v>
      </c>
      <c r="BH10" s="84" t="s">
        <v>203</v>
      </c>
      <c r="BI10" s="84" t="s">
        <v>203</v>
      </c>
      <c r="BJ10" s="84" t="s">
        <v>203</v>
      </c>
    </row>
    <row r="11" spans="1:62" s="80" customFormat="1" x14ac:dyDescent="0.3">
      <c r="A11" s="45">
        <v>202004</v>
      </c>
      <c r="B11" s="46" t="s">
        <v>206</v>
      </c>
      <c r="C11" s="46" t="s">
        <v>325</v>
      </c>
      <c r="D11" s="46" t="str">
        <f t="shared" si="0"/>
        <v>202004_Branded and promo materials</v>
      </c>
      <c r="E11" s="76">
        <v>200000</v>
      </c>
      <c r="F11" s="76" t="s">
        <v>204</v>
      </c>
      <c r="G11" s="76" t="s">
        <v>196</v>
      </c>
      <c r="H11" s="77" t="str">
        <f t="shared" si="1"/>
        <v>200000_Institute development costs</v>
      </c>
      <c r="I11" s="76">
        <v>202000</v>
      </c>
      <c r="J11" s="76" t="s">
        <v>205</v>
      </c>
      <c r="K11" s="76" t="s">
        <v>319</v>
      </c>
      <c r="L11" s="77" t="str">
        <f t="shared" si="2"/>
        <v>202000_PR and marketing</v>
      </c>
      <c r="M11" s="76" t="s">
        <v>308</v>
      </c>
      <c r="N11" s="78" t="s">
        <v>203</v>
      </c>
      <c r="O11" s="79" t="s">
        <v>310</v>
      </c>
      <c r="P11" s="79" t="s">
        <v>310</v>
      </c>
      <c r="Q11" s="79" t="s">
        <v>310</v>
      </c>
      <c r="R11" s="79" t="s">
        <v>310</v>
      </c>
      <c r="S11" s="79" t="s">
        <v>310</v>
      </c>
      <c r="T11" s="79" t="s">
        <v>310</v>
      </c>
      <c r="U11" s="79" t="s">
        <v>310</v>
      </c>
      <c r="V11" s="79" t="s">
        <v>310</v>
      </c>
      <c r="W11" s="79" t="s">
        <v>310</v>
      </c>
      <c r="X11" s="79" t="s">
        <v>310</v>
      </c>
      <c r="Y11" s="79" t="s">
        <v>310</v>
      </c>
      <c r="Z11" s="79" t="s">
        <v>310</v>
      </c>
      <c r="AA11" s="79" t="s">
        <v>310</v>
      </c>
      <c r="AB11" s="79" t="s">
        <v>310</v>
      </c>
      <c r="AC11" s="79" t="s">
        <v>310</v>
      </c>
      <c r="AD11" s="79" t="s">
        <v>310</v>
      </c>
      <c r="AE11" s="79" t="s">
        <v>310</v>
      </c>
      <c r="AF11" s="79" t="s">
        <v>310</v>
      </c>
      <c r="AG11" s="79" t="s">
        <v>310</v>
      </c>
      <c r="AH11" s="79" t="s">
        <v>310</v>
      </c>
      <c r="AI11" s="79" t="s">
        <v>310</v>
      </c>
      <c r="AJ11" s="79" t="s">
        <v>310</v>
      </c>
      <c r="AK11" s="79" t="s">
        <v>310</v>
      </c>
      <c r="AL11" s="79" t="s">
        <v>310</v>
      </c>
      <c r="AM11" s="79" t="s">
        <v>310</v>
      </c>
      <c r="AN11" s="79" t="s">
        <v>310</v>
      </c>
      <c r="AO11" s="79" t="s">
        <v>310</v>
      </c>
      <c r="AP11" s="79" t="s">
        <v>310</v>
      </c>
      <c r="AQ11" s="79" t="s">
        <v>310</v>
      </c>
      <c r="AR11" s="79" t="s">
        <v>310</v>
      </c>
      <c r="AS11" s="79" t="s">
        <v>310</v>
      </c>
      <c r="AT11" s="79" t="s">
        <v>310</v>
      </c>
      <c r="AU11" s="79" t="s">
        <v>310</v>
      </c>
      <c r="AV11" s="79" t="s">
        <v>310</v>
      </c>
      <c r="AW11" s="79" t="s">
        <v>310</v>
      </c>
      <c r="AX11" s="79" t="s">
        <v>310</v>
      </c>
      <c r="AY11" s="79" t="s">
        <v>310</v>
      </c>
      <c r="AZ11" s="79" t="s">
        <v>310</v>
      </c>
      <c r="BA11" s="79" t="s">
        <v>310</v>
      </c>
      <c r="BB11" s="79" t="s">
        <v>310</v>
      </c>
      <c r="BC11" s="79" t="s">
        <v>310</v>
      </c>
      <c r="BD11" s="79" t="s">
        <v>310</v>
      </c>
      <c r="BE11" s="79" t="s">
        <v>310</v>
      </c>
      <c r="BF11" s="79" t="s">
        <v>310</v>
      </c>
      <c r="BG11" s="79" t="s">
        <v>310</v>
      </c>
      <c r="BH11" s="79" t="s">
        <v>310</v>
      </c>
      <c r="BI11" s="79" t="s">
        <v>310</v>
      </c>
      <c r="BJ11" s="79" t="s">
        <v>310</v>
      </c>
    </row>
    <row r="12" spans="1:62" s="85" customFormat="1" x14ac:dyDescent="0.3">
      <c r="A12" s="43">
        <v>202005</v>
      </c>
      <c r="B12" s="44" t="s">
        <v>326</v>
      </c>
      <c r="C12" s="44" t="s">
        <v>327</v>
      </c>
      <c r="D12" s="44" t="str">
        <f t="shared" si="0"/>
        <v>202005_Web site</v>
      </c>
      <c r="E12" s="81">
        <v>200000</v>
      </c>
      <c r="F12" s="81" t="s">
        <v>204</v>
      </c>
      <c r="G12" s="44" t="s">
        <v>196</v>
      </c>
      <c r="H12" s="44" t="str">
        <f t="shared" si="1"/>
        <v>200000_Institute development costs</v>
      </c>
      <c r="I12" s="81">
        <v>202000</v>
      </c>
      <c r="J12" s="81" t="s">
        <v>205</v>
      </c>
      <c r="K12" s="44" t="s">
        <v>319</v>
      </c>
      <c r="L12" s="44" t="str">
        <f t="shared" si="2"/>
        <v>202000_PR and marketing</v>
      </c>
      <c r="M12" s="82" t="s">
        <v>308</v>
      </c>
      <c r="N12" s="83" t="s">
        <v>328</v>
      </c>
      <c r="O12" s="84" t="s">
        <v>203</v>
      </c>
      <c r="P12" s="84" t="s">
        <v>203</v>
      </c>
      <c r="Q12" s="84" t="s">
        <v>203</v>
      </c>
      <c r="R12" s="84" t="s">
        <v>203</v>
      </c>
      <c r="S12" s="84" t="s">
        <v>203</v>
      </c>
      <c r="T12" s="84" t="s">
        <v>203</v>
      </c>
      <c r="U12" s="84" t="s">
        <v>203</v>
      </c>
      <c r="V12" s="84" t="s">
        <v>203</v>
      </c>
      <c r="W12" s="84" t="s">
        <v>203</v>
      </c>
      <c r="X12" s="84" t="s">
        <v>203</v>
      </c>
      <c r="Y12" s="84" t="s">
        <v>203</v>
      </c>
      <c r="Z12" s="84" t="s">
        <v>203</v>
      </c>
      <c r="AA12" s="84" t="s">
        <v>203</v>
      </c>
      <c r="AB12" s="84" t="s">
        <v>203</v>
      </c>
      <c r="AC12" s="84" t="s">
        <v>203</v>
      </c>
      <c r="AD12" s="84" t="s">
        <v>203</v>
      </c>
      <c r="AE12" s="84" t="s">
        <v>203</v>
      </c>
      <c r="AF12" s="84" t="s">
        <v>203</v>
      </c>
      <c r="AG12" s="84" t="s">
        <v>203</v>
      </c>
      <c r="AH12" s="84" t="s">
        <v>203</v>
      </c>
      <c r="AI12" s="84" t="s">
        <v>203</v>
      </c>
      <c r="AJ12" s="84" t="s">
        <v>310</v>
      </c>
      <c r="AK12" s="84" t="s">
        <v>203</v>
      </c>
      <c r="AL12" s="84" t="s">
        <v>203</v>
      </c>
      <c r="AM12" s="84" t="s">
        <v>310</v>
      </c>
      <c r="AN12" s="84" t="s">
        <v>310</v>
      </c>
      <c r="AO12" s="84" t="s">
        <v>203</v>
      </c>
      <c r="AP12" s="84" t="s">
        <v>310</v>
      </c>
      <c r="AQ12" s="84" t="s">
        <v>203</v>
      </c>
      <c r="AR12" s="84" t="s">
        <v>203</v>
      </c>
      <c r="AS12" s="84" t="s">
        <v>203</v>
      </c>
      <c r="AT12" s="84" t="s">
        <v>203</v>
      </c>
      <c r="AU12" s="84" t="s">
        <v>203</v>
      </c>
      <c r="AV12" s="84" t="s">
        <v>203</v>
      </c>
      <c r="AW12" s="84" t="s">
        <v>203</v>
      </c>
      <c r="AX12" s="84" t="s">
        <v>203</v>
      </c>
      <c r="AY12" s="84" t="s">
        <v>203</v>
      </c>
      <c r="AZ12" s="84" t="s">
        <v>203</v>
      </c>
      <c r="BA12" s="84" t="s">
        <v>203</v>
      </c>
      <c r="BB12" s="84" t="s">
        <v>203</v>
      </c>
      <c r="BC12" s="84" t="s">
        <v>203</v>
      </c>
      <c r="BD12" s="84" t="s">
        <v>203</v>
      </c>
      <c r="BE12" s="84" t="s">
        <v>203</v>
      </c>
      <c r="BF12" s="84" t="s">
        <v>203</v>
      </c>
      <c r="BG12" s="84" t="s">
        <v>203</v>
      </c>
      <c r="BH12" s="84" t="s">
        <v>203</v>
      </c>
      <c r="BI12" s="84" t="s">
        <v>203</v>
      </c>
      <c r="BJ12" s="84" t="s">
        <v>203</v>
      </c>
    </row>
    <row r="13" spans="1:62" s="80" customFormat="1" x14ac:dyDescent="0.3">
      <c r="A13" s="45">
        <v>202006</v>
      </c>
      <c r="B13" s="46" t="s">
        <v>329</v>
      </c>
      <c r="C13" s="46" t="s">
        <v>330</v>
      </c>
      <c r="D13" s="46" t="str">
        <f t="shared" si="0"/>
        <v>202006_Trademarks and brands</v>
      </c>
      <c r="E13" s="76">
        <v>200000</v>
      </c>
      <c r="F13" s="76" t="s">
        <v>204</v>
      </c>
      <c r="G13" s="76" t="s">
        <v>196</v>
      </c>
      <c r="H13" s="77" t="str">
        <f t="shared" si="1"/>
        <v>200000_Institute development costs</v>
      </c>
      <c r="I13" s="76">
        <v>202000</v>
      </c>
      <c r="J13" s="76" t="s">
        <v>205</v>
      </c>
      <c r="K13" s="76" t="s">
        <v>319</v>
      </c>
      <c r="L13" s="77" t="str">
        <f t="shared" si="2"/>
        <v>202000_PR and marketing</v>
      </c>
      <c r="M13" s="76" t="s">
        <v>308</v>
      </c>
      <c r="N13" s="78" t="s">
        <v>203</v>
      </c>
      <c r="O13" s="79" t="s">
        <v>310</v>
      </c>
      <c r="P13" s="79" t="s">
        <v>203</v>
      </c>
      <c r="Q13" s="79" t="s">
        <v>203</v>
      </c>
      <c r="R13" s="79" t="s">
        <v>203</v>
      </c>
      <c r="S13" s="79" t="s">
        <v>203</v>
      </c>
      <c r="T13" s="79" t="s">
        <v>203</v>
      </c>
      <c r="U13" s="79" t="s">
        <v>203</v>
      </c>
      <c r="V13" s="79" t="s">
        <v>203</v>
      </c>
      <c r="W13" s="79" t="s">
        <v>203</v>
      </c>
      <c r="X13" s="79" t="s">
        <v>310</v>
      </c>
      <c r="Y13" s="79" t="s">
        <v>310</v>
      </c>
      <c r="Z13" s="79" t="s">
        <v>310</v>
      </c>
      <c r="AA13" s="79" t="s">
        <v>203</v>
      </c>
      <c r="AB13" s="79" t="s">
        <v>203</v>
      </c>
      <c r="AC13" s="79" t="s">
        <v>310</v>
      </c>
      <c r="AD13" s="79" t="s">
        <v>203</v>
      </c>
      <c r="AE13" s="79" t="s">
        <v>203</v>
      </c>
      <c r="AF13" s="79" t="s">
        <v>203</v>
      </c>
      <c r="AG13" s="79" t="s">
        <v>203</v>
      </c>
      <c r="AH13" s="79" t="s">
        <v>203</v>
      </c>
      <c r="AI13" s="79" t="s">
        <v>203</v>
      </c>
      <c r="AJ13" s="79" t="s">
        <v>310</v>
      </c>
      <c r="AK13" s="79" t="s">
        <v>203</v>
      </c>
      <c r="AL13" s="79" t="s">
        <v>310</v>
      </c>
      <c r="AM13" s="79" t="s">
        <v>310</v>
      </c>
      <c r="AN13" s="79" t="s">
        <v>310</v>
      </c>
      <c r="AO13" s="79" t="s">
        <v>203</v>
      </c>
      <c r="AP13" s="79" t="s">
        <v>310</v>
      </c>
      <c r="AQ13" s="79" t="s">
        <v>310</v>
      </c>
      <c r="AR13" s="79" t="s">
        <v>310</v>
      </c>
      <c r="AS13" s="79" t="s">
        <v>203</v>
      </c>
      <c r="AT13" s="79" t="s">
        <v>310</v>
      </c>
      <c r="AU13" s="79" t="s">
        <v>310</v>
      </c>
      <c r="AV13" s="79" t="s">
        <v>310</v>
      </c>
      <c r="AW13" s="79" t="s">
        <v>310</v>
      </c>
      <c r="AX13" s="79" t="s">
        <v>310</v>
      </c>
      <c r="AY13" s="79" t="s">
        <v>310</v>
      </c>
      <c r="AZ13" s="79" t="s">
        <v>310</v>
      </c>
      <c r="BA13" s="79" t="s">
        <v>310</v>
      </c>
      <c r="BB13" s="79" t="s">
        <v>310</v>
      </c>
      <c r="BC13" s="79" t="s">
        <v>310</v>
      </c>
      <c r="BD13" s="79" t="s">
        <v>310</v>
      </c>
      <c r="BE13" s="79" t="s">
        <v>310</v>
      </c>
      <c r="BF13" s="79" t="s">
        <v>310</v>
      </c>
      <c r="BG13" s="79" t="s">
        <v>310</v>
      </c>
      <c r="BH13" s="79" t="s">
        <v>310</v>
      </c>
      <c r="BI13" s="79" t="s">
        <v>310</v>
      </c>
      <c r="BJ13" s="79" t="s">
        <v>310</v>
      </c>
    </row>
    <row r="14" spans="1:62" s="85" customFormat="1" x14ac:dyDescent="0.3">
      <c r="A14" s="43">
        <v>203001</v>
      </c>
      <c r="B14" s="44" t="s">
        <v>331</v>
      </c>
      <c r="C14" s="44" t="s">
        <v>332</v>
      </c>
      <c r="D14" s="44" t="str">
        <f t="shared" si="0"/>
        <v>203001_Events_Invitation expenses</v>
      </c>
      <c r="E14" s="81">
        <v>200000</v>
      </c>
      <c r="F14" s="81" t="s">
        <v>204</v>
      </c>
      <c r="G14" s="44" t="s">
        <v>196</v>
      </c>
      <c r="H14" s="44" t="str">
        <f t="shared" si="1"/>
        <v>200000_Institute development costs</v>
      </c>
      <c r="I14" s="81">
        <v>203000</v>
      </c>
      <c r="J14" s="81" t="s">
        <v>333</v>
      </c>
      <c r="K14" s="44" t="s">
        <v>334</v>
      </c>
      <c r="L14" s="44" t="str">
        <f t="shared" si="2"/>
        <v>203000_Events</v>
      </c>
      <c r="M14" s="82" t="s">
        <v>308</v>
      </c>
      <c r="N14" s="83" t="s">
        <v>335</v>
      </c>
      <c r="O14" s="84" t="s">
        <v>310</v>
      </c>
      <c r="P14" s="84" t="s">
        <v>310</v>
      </c>
      <c r="Q14" s="84" t="s">
        <v>310</v>
      </c>
      <c r="R14" s="84" t="s">
        <v>310</v>
      </c>
      <c r="S14" s="84" t="s">
        <v>310</v>
      </c>
      <c r="T14" s="84" t="s">
        <v>310</v>
      </c>
      <c r="U14" s="84" t="s">
        <v>310</v>
      </c>
      <c r="V14" s="84" t="s">
        <v>310</v>
      </c>
      <c r="W14" s="84" t="s">
        <v>310</v>
      </c>
      <c r="X14" s="84" t="s">
        <v>310</v>
      </c>
      <c r="Y14" s="84" t="s">
        <v>310</v>
      </c>
      <c r="Z14" s="84" t="s">
        <v>310</v>
      </c>
      <c r="AA14" s="84" t="s">
        <v>310</v>
      </c>
      <c r="AB14" s="84" t="s">
        <v>310</v>
      </c>
      <c r="AC14" s="84" t="s">
        <v>310</v>
      </c>
      <c r="AD14" s="84" t="s">
        <v>310</v>
      </c>
      <c r="AE14" s="84" t="s">
        <v>310</v>
      </c>
      <c r="AF14" s="84" t="s">
        <v>310</v>
      </c>
      <c r="AG14" s="84" t="s">
        <v>310</v>
      </c>
      <c r="AH14" s="84" t="s">
        <v>310</v>
      </c>
      <c r="AI14" s="84" t="s">
        <v>310</v>
      </c>
      <c r="AJ14" s="84" t="s">
        <v>310</v>
      </c>
      <c r="AK14" s="84" t="s">
        <v>310</v>
      </c>
      <c r="AL14" s="84" t="s">
        <v>310</v>
      </c>
      <c r="AM14" s="84" t="s">
        <v>310</v>
      </c>
      <c r="AN14" s="84" t="s">
        <v>310</v>
      </c>
      <c r="AO14" s="84" t="s">
        <v>310</v>
      </c>
      <c r="AP14" s="84" t="s">
        <v>310</v>
      </c>
      <c r="AQ14" s="84" t="s">
        <v>310</v>
      </c>
      <c r="AR14" s="84" t="s">
        <v>310</v>
      </c>
      <c r="AS14" s="84" t="s">
        <v>310</v>
      </c>
      <c r="AT14" s="84" t="s">
        <v>310</v>
      </c>
      <c r="AU14" s="84" t="s">
        <v>310</v>
      </c>
      <c r="AV14" s="84" t="s">
        <v>310</v>
      </c>
      <c r="AW14" s="84" t="s">
        <v>310</v>
      </c>
      <c r="AX14" s="84" t="s">
        <v>310</v>
      </c>
      <c r="AY14" s="84" t="s">
        <v>310</v>
      </c>
      <c r="AZ14" s="84" t="s">
        <v>310</v>
      </c>
      <c r="BA14" s="84" t="s">
        <v>310</v>
      </c>
      <c r="BB14" s="84" t="s">
        <v>310</v>
      </c>
      <c r="BC14" s="84" t="s">
        <v>310</v>
      </c>
      <c r="BD14" s="84" t="s">
        <v>310</v>
      </c>
      <c r="BE14" s="84" t="s">
        <v>310</v>
      </c>
      <c r="BF14" s="84" t="s">
        <v>310</v>
      </c>
      <c r="BG14" s="84" t="s">
        <v>310</v>
      </c>
      <c r="BH14" s="84" t="s">
        <v>310</v>
      </c>
      <c r="BI14" s="84" t="s">
        <v>310</v>
      </c>
      <c r="BJ14" s="84" t="s">
        <v>310</v>
      </c>
    </row>
    <row r="15" spans="1:62" s="80" customFormat="1" x14ac:dyDescent="0.3">
      <c r="A15" s="45">
        <v>203002</v>
      </c>
      <c r="B15" s="46" t="s">
        <v>336</v>
      </c>
      <c r="C15" s="46" t="s">
        <v>337</v>
      </c>
      <c r="D15" s="46" t="str">
        <f t="shared" si="0"/>
        <v>203002_Events_Registration expenses</v>
      </c>
      <c r="E15" s="76">
        <v>200000</v>
      </c>
      <c r="F15" s="76" t="s">
        <v>204</v>
      </c>
      <c r="G15" s="76" t="s">
        <v>196</v>
      </c>
      <c r="H15" s="77" t="str">
        <f t="shared" si="1"/>
        <v>200000_Institute development costs</v>
      </c>
      <c r="I15" s="76">
        <v>203000</v>
      </c>
      <c r="J15" s="76" t="s">
        <v>333</v>
      </c>
      <c r="K15" s="76" t="s">
        <v>334</v>
      </c>
      <c r="L15" s="77" t="str">
        <f t="shared" si="2"/>
        <v>203000_Events</v>
      </c>
      <c r="M15" s="76" t="s">
        <v>308</v>
      </c>
      <c r="N15" s="78" t="s">
        <v>335</v>
      </c>
      <c r="O15" s="79" t="s">
        <v>310</v>
      </c>
      <c r="P15" s="79" t="s">
        <v>310</v>
      </c>
      <c r="Q15" s="79" t="s">
        <v>310</v>
      </c>
      <c r="R15" s="79" t="s">
        <v>310</v>
      </c>
      <c r="S15" s="79" t="s">
        <v>310</v>
      </c>
      <c r="T15" s="79" t="s">
        <v>310</v>
      </c>
      <c r="U15" s="79" t="s">
        <v>310</v>
      </c>
      <c r="V15" s="79" t="s">
        <v>310</v>
      </c>
      <c r="W15" s="79" t="s">
        <v>310</v>
      </c>
      <c r="X15" s="79" t="s">
        <v>310</v>
      </c>
      <c r="Y15" s="79" t="s">
        <v>310</v>
      </c>
      <c r="Z15" s="79" t="s">
        <v>310</v>
      </c>
      <c r="AA15" s="79" t="s">
        <v>310</v>
      </c>
      <c r="AB15" s="79" t="s">
        <v>310</v>
      </c>
      <c r="AC15" s="79" t="s">
        <v>310</v>
      </c>
      <c r="AD15" s="79" t="s">
        <v>310</v>
      </c>
      <c r="AE15" s="79" t="s">
        <v>310</v>
      </c>
      <c r="AF15" s="79" t="s">
        <v>310</v>
      </c>
      <c r="AG15" s="79" t="s">
        <v>310</v>
      </c>
      <c r="AH15" s="79" t="s">
        <v>310</v>
      </c>
      <c r="AI15" s="79" t="s">
        <v>310</v>
      </c>
      <c r="AJ15" s="79" t="s">
        <v>310</v>
      </c>
      <c r="AK15" s="79" t="s">
        <v>310</v>
      </c>
      <c r="AL15" s="79" t="s">
        <v>310</v>
      </c>
      <c r="AM15" s="79" t="s">
        <v>310</v>
      </c>
      <c r="AN15" s="79" t="s">
        <v>310</v>
      </c>
      <c r="AO15" s="79" t="s">
        <v>310</v>
      </c>
      <c r="AP15" s="79" t="s">
        <v>310</v>
      </c>
      <c r="AQ15" s="79" t="s">
        <v>310</v>
      </c>
      <c r="AR15" s="79" t="s">
        <v>310</v>
      </c>
      <c r="AS15" s="79" t="s">
        <v>310</v>
      </c>
      <c r="AT15" s="79" t="s">
        <v>310</v>
      </c>
      <c r="AU15" s="79" t="s">
        <v>310</v>
      </c>
      <c r="AV15" s="79" t="s">
        <v>310</v>
      </c>
      <c r="AW15" s="79" t="s">
        <v>310</v>
      </c>
      <c r="AX15" s="79" t="s">
        <v>310</v>
      </c>
      <c r="AY15" s="79" t="s">
        <v>310</v>
      </c>
      <c r="AZ15" s="79" t="s">
        <v>310</v>
      </c>
      <c r="BA15" s="79" t="s">
        <v>310</v>
      </c>
      <c r="BB15" s="79" t="s">
        <v>310</v>
      </c>
      <c r="BC15" s="79" t="s">
        <v>310</v>
      </c>
      <c r="BD15" s="79" t="s">
        <v>310</v>
      </c>
      <c r="BE15" s="79" t="s">
        <v>310</v>
      </c>
      <c r="BF15" s="79" t="s">
        <v>310</v>
      </c>
      <c r="BG15" s="79" t="s">
        <v>310</v>
      </c>
      <c r="BH15" s="79" t="s">
        <v>310</v>
      </c>
      <c r="BI15" s="79" t="s">
        <v>310</v>
      </c>
      <c r="BJ15" s="79" t="s">
        <v>310</v>
      </c>
    </row>
    <row r="16" spans="1:62" s="85" customFormat="1" x14ac:dyDescent="0.3">
      <c r="A16" s="43">
        <v>203003</v>
      </c>
      <c r="B16" s="44" t="s">
        <v>338</v>
      </c>
      <c r="C16" s="44" t="s">
        <v>339</v>
      </c>
      <c r="D16" s="44" t="str">
        <f t="shared" si="0"/>
        <v>203003_Events_Catering</v>
      </c>
      <c r="E16" s="81">
        <v>200000</v>
      </c>
      <c r="F16" s="81" t="s">
        <v>204</v>
      </c>
      <c r="G16" s="44" t="s">
        <v>196</v>
      </c>
      <c r="H16" s="44" t="str">
        <f t="shared" si="1"/>
        <v>200000_Institute development costs</v>
      </c>
      <c r="I16" s="81">
        <v>203000</v>
      </c>
      <c r="J16" s="81" t="s">
        <v>333</v>
      </c>
      <c r="K16" s="44" t="s">
        <v>334</v>
      </c>
      <c r="L16" s="44" t="str">
        <f t="shared" si="2"/>
        <v>203000_Events</v>
      </c>
      <c r="M16" s="82" t="s">
        <v>308</v>
      </c>
      <c r="N16" s="83" t="s">
        <v>335</v>
      </c>
      <c r="O16" s="84" t="s">
        <v>310</v>
      </c>
      <c r="P16" s="84" t="s">
        <v>310</v>
      </c>
      <c r="Q16" s="84" t="s">
        <v>310</v>
      </c>
      <c r="R16" s="84" t="s">
        <v>310</v>
      </c>
      <c r="S16" s="84" t="s">
        <v>310</v>
      </c>
      <c r="T16" s="84" t="s">
        <v>310</v>
      </c>
      <c r="U16" s="84" t="s">
        <v>310</v>
      </c>
      <c r="V16" s="84" t="s">
        <v>310</v>
      </c>
      <c r="W16" s="84" t="s">
        <v>310</v>
      </c>
      <c r="X16" s="84" t="s">
        <v>310</v>
      </c>
      <c r="Y16" s="84" t="s">
        <v>310</v>
      </c>
      <c r="Z16" s="84" t="s">
        <v>310</v>
      </c>
      <c r="AA16" s="84" t="s">
        <v>310</v>
      </c>
      <c r="AB16" s="84" t="s">
        <v>310</v>
      </c>
      <c r="AC16" s="84" t="s">
        <v>310</v>
      </c>
      <c r="AD16" s="84" t="s">
        <v>310</v>
      </c>
      <c r="AE16" s="84" t="s">
        <v>310</v>
      </c>
      <c r="AF16" s="84" t="s">
        <v>310</v>
      </c>
      <c r="AG16" s="84" t="s">
        <v>310</v>
      </c>
      <c r="AH16" s="84" t="s">
        <v>310</v>
      </c>
      <c r="AI16" s="84" t="s">
        <v>310</v>
      </c>
      <c r="AJ16" s="84" t="s">
        <v>310</v>
      </c>
      <c r="AK16" s="84" t="s">
        <v>310</v>
      </c>
      <c r="AL16" s="84" t="s">
        <v>310</v>
      </c>
      <c r="AM16" s="84" t="s">
        <v>310</v>
      </c>
      <c r="AN16" s="84" t="s">
        <v>310</v>
      </c>
      <c r="AO16" s="84" t="s">
        <v>310</v>
      </c>
      <c r="AP16" s="84" t="s">
        <v>310</v>
      </c>
      <c r="AQ16" s="84" t="s">
        <v>310</v>
      </c>
      <c r="AR16" s="84" t="s">
        <v>310</v>
      </c>
      <c r="AS16" s="84" t="s">
        <v>310</v>
      </c>
      <c r="AT16" s="84" t="s">
        <v>310</v>
      </c>
      <c r="AU16" s="84" t="s">
        <v>310</v>
      </c>
      <c r="AV16" s="84" t="s">
        <v>310</v>
      </c>
      <c r="AW16" s="84" t="s">
        <v>310</v>
      </c>
      <c r="AX16" s="84" t="s">
        <v>310</v>
      </c>
      <c r="AY16" s="84" t="s">
        <v>310</v>
      </c>
      <c r="AZ16" s="84" t="s">
        <v>310</v>
      </c>
      <c r="BA16" s="84" t="s">
        <v>310</v>
      </c>
      <c r="BB16" s="84" t="s">
        <v>310</v>
      </c>
      <c r="BC16" s="84" t="s">
        <v>310</v>
      </c>
      <c r="BD16" s="84" t="s">
        <v>310</v>
      </c>
      <c r="BE16" s="84" t="s">
        <v>310</v>
      </c>
      <c r="BF16" s="84" t="s">
        <v>310</v>
      </c>
      <c r="BG16" s="84" t="s">
        <v>310</v>
      </c>
      <c r="BH16" s="84" t="s">
        <v>310</v>
      </c>
      <c r="BI16" s="84" t="s">
        <v>310</v>
      </c>
      <c r="BJ16" s="84" t="s">
        <v>310</v>
      </c>
    </row>
    <row r="17" spans="1:62" s="80" customFormat="1" x14ac:dyDescent="0.3">
      <c r="A17" s="45">
        <v>203004</v>
      </c>
      <c r="B17" s="46" t="s">
        <v>340</v>
      </c>
      <c r="C17" s="46" t="s">
        <v>341</v>
      </c>
      <c r="D17" s="46" t="str">
        <f t="shared" si="0"/>
        <v>203004_Events_Transport expenses</v>
      </c>
      <c r="E17" s="76">
        <v>200000</v>
      </c>
      <c r="F17" s="76" t="s">
        <v>204</v>
      </c>
      <c r="G17" s="76" t="s">
        <v>196</v>
      </c>
      <c r="H17" s="77" t="str">
        <f t="shared" si="1"/>
        <v>200000_Institute development costs</v>
      </c>
      <c r="I17" s="76">
        <v>203000</v>
      </c>
      <c r="J17" s="76" t="s">
        <v>333</v>
      </c>
      <c r="K17" s="76" t="s">
        <v>334</v>
      </c>
      <c r="L17" s="77" t="str">
        <f t="shared" si="2"/>
        <v>203000_Events</v>
      </c>
      <c r="M17" s="76" t="s">
        <v>308</v>
      </c>
      <c r="N17" s="78" t="s">
        <v>335</v>
      </c>
      <c r="O17" s="79" t="s">
        <v>310</v>
      </c>
      <c r="P17" s="79" t="s">
        <v>310</v>
      </c>
      <c r="Q17" s="79" t="s">
        <v>310</v>
      </c>
      <c r="R17" s="79" t="s">
        <v>310</v>
      </c>
      <c r="S17" s="79" t="s">
        <v>310</v>
      </c>
      <c r="T17" s="79" t="s">
        <v>310</v>
      </c>
      <c r="U17" s="79" t="s">
        <v>310</v>
      </c>
      <c r="V17" s="79" t="s">
        <v>310</v>
      </c>
      <c r="W17" s="79" t="s">
        <v>310</v>
      </c>
      <c r="X17" s="79" t="s">
        <v>310</v>
      </c>
      <c r="Y17" s="79" t="s">
        <v>310</v>
      </c>
      <c r="Z17" s="79" t="s">
        <v>310</v>
      </c>
      <c r="AA17" s="79" t="s">
        <v>310</v>
      </c>
      <c r="AB17" s="79" t="s">
        <v>310</v>
      </c>
      <c r="AC17" s="79" t="s">
        <v>310</v>
      </c>
      <c r="AD17" s="79" t="s">
        <v>310</v>
      </c>
      <c r="AE17" s="79" t="s">
        <v>310</v>
      </c>
      <c r="AF17" s="79" t="s">
        <v>310</v>
      </c>
      <c r="AG17" s="79" t="s">
        <v>310</v>
      </c>
      <c r="AH17" s="79" t="s">
        <v>310</v>
      </c>
      <c r="AI17" s="79" t="s">
        <v>310</v>
      </c>
      <c r="AJ17" s="79" t="s">
        <v>310</v>
      </c>
      <c r="AK17" s="79" t="s">
        <v>310</v>
      </c>
      <c r="AL17" s="79" t="s">
        <v>310</v>
      </c>
      <c r="AM17" s="79" t="s">
        <v>310</v>
      </c>
      <c r="AN17" s="79" t="s">
        <v>310</v>
      </c>
      <c r="AO17" s="79" t="s">
        <v>310</v>
      </c>
      <c r="AP17" s="79" t="s">
        <v>310</v>
      </c>
      <c r="AQ17" s="79" t="s">
        <v>310</v>
      </c>
      <c r="AR17" s="79" t="s">
        <v>310</v>
      </c>
      <c r="AS17" s="79" t="s">
        <v>310</v>
      </c>
      <c r="AT17" s="79" t="s">
        <v>310</v>
      </c>
      <c r="AU17" s="79" t="s">
        <v>310</v>
      </c>
      <c r="AV17" s="79" t="s">
        <v>310</v>
      </c>
      <c r="AW17" s="79" t="s">
        <v>310</v>
      </c>
      <c r="AX17" s="79" t="s">
        <v>310</v>
      </c>
      <c r="AY17" s="79" t="s">
        <v>310</v>
      </c>
      <c r="AZ17" s="79" t="s">
        <v>310</v>
      </c>
      <c r="BA17" s="79" t="s">
        <v>310</v>
      </c>
      <c r="BB17" s="79" t="s">
        <v>310</v>
      </c>
      <c r="BC17" s="79" t="s">
        <v>310</v>
      </c>
      <c r="BD17" s="79" t="s">
        <v>310</v>
      </c>
      <c r="BE17" s="79" t="s">
        <v>310</v>
      </c>
      <c r="BF17" s="79" t="s">
        <v>310</v>
      </c>
      <c r="BG17" s="79" t="s">
        <v>310</v>
      </c>
      <c r="BH17" s="79" t="s">
        <v>310</v>
      </c>
      <c r="BI17" s="79" t="s">
        <v>310</v>
      </c>
      <c r="BJ17" s="79" t="s">
        <v>310</v>
      </c>
    </row>
    <row r="18" spans="1:62" s="85" customFormat="1" x14ac:dyDescent="0.3">
      <c r="A18" s="43">
        <v>203005</v>
      </c>
      <c r="B18" s="44" t="s">
        <v>342</v>
      </c>
      <c r="C18" s="44" t="s">
        <v>343</v>
      </c>
      <c r="D18" s="44" t="str">
        <f t="shared" si="0"/>
        <v>203005_Events_Rent for events</v>
      </c>
      <c r="E18" s="81">
        <v>200000</v>
      </c>
      <c r="F18" s="81" t="s">
        <v>204</v>
      </c>
      <c r="G18" s="44" t="s">
        <v>196</v>
      </c>
      <c r="H18" s="44" t="str">
        <f t="shared" si="1"/>
        <v>200000_Institute development costs</v>
      </c>
      <c r="I18" s="81">
        <v>203000</v>
      </c>
      <c r="J18" s="81" t="s">
        <v>333</v>
      </c>
      <c r="K18" s="44" t="s">
        <v>334</v>
      </c>
      <c r="L18" s="44" t="str">
        <f t="shared" si="2"/>
        <v>203000_Events</v>
      </c>
      <c r="M18" s="82" t="s">
        <v>308</v>
      </c>
      <c r="N18" s="83" t="s">
        <v>335</v>
      </c>
      <c r="O18" s="84" t="s">
        <v>310</v>
      </c>
      <c r="P18" s="84" t="s">
        <v>310</v>
      </c>
      <c r="Q18" s="84" t="s">
        <v>310</v>
      </c>
      <c r="R18" s="84" t="s">
        <v>310</v>
      </c>
      <c r="S18" s="84" t="s">
        <v>310</v>
      </c>
      <c r="T18" s="84" t="s">
        <v>310</v>
      </c>
      <c r="U18" s="84" t="s">
        <v>310</v>
      </c>
      <c r="V18" s="84" t="s">
        <v>310</v>
      </c>
      <c r="W18" s="84" t="s">
        <v>310</v>
      </c>
      <c r="X18" s="84" t="s">
        <v>310</v>
      </c>
      <c r="Y18" s="84" t="s">
        <v>310</v>
      </c>
      <c r="Z18" s="84" t="s">
        <v>310</v>
      </c>
      <c r="AA18" s="84" t="s">
        <v>310</v>
      </c>
      <c r="AB18" s="84" t="s">
        <v>310</v>
      </c>
      <c r="AC18" s="84" t="s">
        <v>310</v>
      </c>
      <c r="AD18" s="84" t="s">
        <v>310</v>
      </c>
      <c r="AE18" s="84" t="s">
        <v>310</v>
      </c>
      <c r="AF18" s="84" t="s">
        <v>310</v>
      </c>
      <c r="AG18" s="84" t="s">
        <v>310</v>
      </c>
      <c r="AH18" s="84" t="s">
        <v>310</v>
      </c>
      <c r="AI18" s="84" t="s">
        <v>310</v>
      </c>
      <c r="AJ18" s="84" t="s">
        <v>310</v>
      </c>
      <c r="AK18" s="84" t="s">
        <v>310</v>
      </c>
      <c r="AL18" s="84" t="s">
        <v>310</v>
      </c>
      <c r="AM18" s="84" t="s">
        <v>310</v>
      </c>
      <c r="AN18" s="84" t="s">
        <v>310</v>
      </c>
      <c r="AO18" s="84" t="s">
        <v>310</v>
      </c>
      <c r="AP18" s="84" t="s">
        <v>310</v>
      </c>
      <c r="AQ18" s="84" t="s">
        <v>310</v>
      </c>
      <c r="AR18" s="84" t="s">
        <v>310</v>
      </c>
      <c r="AS18" s="84" t="s">
        <v>310</v>
      </c>
      <c r="AT18" s="84" t="s">
        <v>310</v>
      </c>
      <c r="AU18" s="84" t="s">
        <v>310</v>
      </c>
      <c r="AV18" s="84" t="s">
        <v>310</v>
      </c>
      <c r="AW18" s="84" t="s">
        <v>310</v>
      </c>
      <c r="AX18" s="84" t="s">
        <v>310</v>
      </c>
      <c r="AY18" s="84" t="s">
        <v>310</v>
      </c>
      <c r="AZ18" s="84" t="s">
        <v>310</v>
      </c>
      <c r="BA18" s="84" t="s">
        <v>310</v>
      </c>
      <c r="BB18" s="84" t="s">
        <v>310</v>
      </c>
      <c r="BC18" s="84" t="s">
        <v>310</v>
      </c>
      <c r="BD18" s="84" t="s">
        <v>310</v>
      </c>
      <c r="BE18" s="84" t="s">
        <v>310</v>
      </c>
      <c r="BF18" s="84" t="s">
        <v>310</v>
      </c>
      <c r="BG18" s="84" t="s">
        <v>310</v>
      </c>
      <c r="BH18" s="84" t="s">
        <v>310</v>
      </c>
      <c r="BI18" s="84" t="s">
        <v>310</v>
      </c>
      <c r="BJ18" s="84" t="s">
        <v>310</v>
      </c>
    </row>
    <row r="19" spans="1:62" s="80" customFormat="1" x14ac:dyDescent="0.3">
      <c r="A19" s="45">
        <v>203999</v>
      </c>
      <c r="B19" s="46" t="s">
        <v>344</v>
      </c>
      <c r="C19" s="46" t="s">
        <v>345</v>
      </c>
      <c r="D19" s="46" t="str">
        <f t="shared" si="0"/>
        <v>203999_Events_Other</v>
      </c>
      <c r="E19" s="76">
        <v>200000</v>
      </c>
      <c r="F19" s="76" t="s">
        <v>204</v>
      </c>
      <c r="G19" s="76" t="s">
        <v>196</v>
      </c>
      <c r="H19" s="77" t="str">
        <f t="shared" si="1"/>
        <v>200000_Institute development costs</v>
      </c>
      <c r="I19" s="76">
        <v>203000</v>
      </c>
      <c r="J19" s="76" t="s">
        <v>333</v>
      </c>
      <c r="K19" s="76" t="s">
        <v>334</v>
      </c>
      <c r="L19" s="77" t="str">
        <f t="shared" si="2"/>
        <v>203000_Events</v>
      </c>
      <c r="M19" s="76" t="s">
        <v>308</v>
      </c>
      <c r="N19" s="78" t="s">
        <v>346</v>
      </c>
      <c r="O19" s="79" t="s">
        <v>310</v>
      </c>
      <c r="P19" s="79" t="s">
        <v>310</v>
      </c>
      <c r="Q19" s="79" t="s">
        <v>310</v>
      </c>
      <c r="R19" s="79" t="s">
        <v>310</v>
      </c>
      <c r="S19" s="79" t="s">
        <v>310</v>
      </c>
      <c r="T19" s="79" t="s">
        <v>310</v>
      </c>
      <c r="U19" s="79" t="s">
        <v>310</v>
      </c>
      <c r="V19" s="79" t="s">
        <v>310</v>
      </c>
      <c r="W19" s="79" t="s">
        <v>310</v>
      </c>
      <c r="X19" s="79" t="s">
        <v>310</v>
      </c>
      <c r="Y19" s="79" t="s">
        <v>310</v>
      </c>
      <c r="Z19" s="79" t="s">
        <v>310</v>
      </c>
      <c r="AA19" s="79" t="s">
        <v>310</v>
      </c>
      <c r="AB19" s="79" t="s">
        <v>310</v>
      </c>
      <c r="AC19" s="79" t="s">
        <v>310</v>
      </c>
      <c r="AD19" s="79" t="s">
        <v>310</v>
      </c>
      <c r="AE19" s="79" t="s">
        <v>310</v>
      </c>
      <c r="AF19" s="79" t="s">
        <v>310</v>
      </c>
      <c r="AG19" s="79" t="s">
        <v>310</v>
      </c>
      <c r="AH19" s="79" t="s">
        <v>310</v>
      </c>
      <c r="AI19" s="79" t="s">
        <v>310</v>
      </c>
      <c r="AJ19" s="79" t="s">
        <v>310</v>
      </c>
      <c r="AK19" s="79" t="s">
        <v>310</v>
      </c>
      <c r="AL19" s="79" t="s">
        <v>310</v>
      </c>
      <c r="AM19" s="79" t="s">
        <v>310</v>
      </c>
      <c r="AN19" s="79" t="s">
        <v>310</v>
      </c>
      <c r="AO19" s="79" t="s">
        <v>310</v>
      </c>
      <c r="AP19" s="79" t="s">
        <v>310</v>
      </c>
      <c r="AQ19" s="79" t="s">
        <v>310</v>
      </c>
      <c r="AR19" s="79" t="s">
        <v>310</v>
      </c>
      <c r="AS19" s="79" t="s">
        <v>310</v>
      </c>
      <c r="AT19" s="79" t="s">
        <v>310</v>
      </c>
      <c r="AU19" s="79" t="s">
        <v>310</v>
      </c>
      <c r="AV19" s="79" t="s">
        <v>310</v>
      </c>
      <c r="AW19" s="79" t="s">
        <v>310</v>
      </c>
      <c r="AX19" s="79" t="s">
        <v>310</v>
      </c>
      <c r="AY19" s="79" t="s">
        <v>310</v>
      </c>
      <c r="AZ19" s="79" t="s">
        <v>310</v>
      </c>
      <c r="BA19" s="79" t="s">
        <v>310</v>
      </c>
      <c r="BB19" s="79" t="s">
        <v>310</v>
      </c>
      <c r="BC19" s="79" t="s">
        <v>310</v>
      </c>
      <c r="BD19" s="79" t="s">
        <v>310</v>
      </c>
      <c r="BE19" s="79" t="s">
        <v>310</v>
      </c>
      <c r="BF19" s="79" t="s">
        <v>310</v>
      </c>
      <c r="BG19" s="79" t="s">
        <v>310</v>
      </c>
      <c r="BH19" s="79" t="s">
        <v>310</v>
      </c>
      <c r="BI19" s="79" t="s">
        <v>310</v>
      </c>
      <c r="BJ19" s="79" t="s">
        <v>310</v>
      </c>
    </row>
    <row r="20" spans="1:62" s="85" customFormat="1" x14ac:dyDescent="0.3">
      <c r="A20" s="43">
        <v>204001</v>
      </c>
      <c r="B20" s="44" t="s">
        <v>208</v>
      </c>
      <c r="C20" s="44" t="s">
        <v>347</v>
      </c>
      <c r="D20" s="44" t="str">
        <f t="shared" si="0"/>
        <v>204001_Business trips_Daily allowance within the limits</v>
      </c>
      <c r="E20" s="81">
        <v>200000</v>
      </c>
      <c r="F20" s="81" t="s">
        <v>204</v>
      </c>
      <c r="G20" s="44" t="s">
        <v>196</v>
      </c>
      <c r="H20" s="44" t="str">
        <f t="shared" si="1"/>
        <v>200000_Institute development costs</v>
      </c>
      <c r="I20" s="81">
        <v>204000</v>
      </c>
      <c r="J20" s="81" t="s">
        <v>207</v>
      </c>
      <c r="K20" s="44" t="s">
        <v>348</v>
      </c>
      <c r="L20" s="44" t="str">
        <f t="shared" si="2"/>
        <v>204000_Business trips</v>
      </c>
      <c r="M20" s="82" t="s">
        <v>308</v>
      </c>
      <c r="N20" s="83" t="s">
        <v>203</v>
      </c>
      <c r="O20" s="84" t="s">
        <v>310</v>
      </c>
      <c r="P20" s="84" t="s">
        <v>310</v>
      </c>
      <c r="Q20" s="84" t="s">
        <v>310</v>
      </c>
      <c r="R20" s="84" t="s">
        <v>310</v>
      </c>
      <c r="S20" s="84" t="s">
        <v>310</v>
      </c>
      <c r="T20" s="84" t="s">
        <v>310</v>
      </c>
      <c r="U20" s="84" t="s">
        <v>310</v>
      </c>
      <c r="V20" s="84" t="s">
        <v>310</v>
      </c>
      <c r="W20" s="84" t="s">
        <v>310</v>
      </c>
      <c r="X20" s="84" t="s">
        <v>310</v>
      </c>
      <c r="Y20" s="84" t="s">
        <v>310</v>
      </c>
      <c r="Z20" s="84" t="s">
        <v>310</v>
      </c>
      <c r="AA20" s="84" t="s">
        <v>310</v>
      </c>
      <c r="AB20" s="84" t="s">
        <v>310</v>
      </c>
      <c r="AC20" s="84" t="s">
        <v>310</v>
      </c>
      <c r="AD20" s="84" t="s">
        <v>310</v>
      </c>
      <c r="AE20" s="84" t="s">
        <v>310</v>
      </c>
      <c r="AF20" s="84" t="s">
        <v>310</v>
      </c>
      <c r="AG20" s="84" t="s">
        <v>310</v>
      </c>
      <c r="AH20" s="84" t="s">
        <v>310</v>
      </c>
      <c r="AI20" s="84" t="s">
        <v>310</v>
      </c>
      <c r="AJ20" s="84" t="s">
        <v>310</v>
      </c>
      <c r="AK20" s="84" t="s">
        <v>310</v>
      </c>
      <c r="AL20" s="84" t="s">
        <v>310</v>
      </c>
      <c r="AM20" s="84" t="s">
        <v>310</v>
      </c>
      <c r="AN20" s="84" t="s">
        <v>310</v>
      </c>
      <c r="AO20" s="84" t="s">
        <v>310</v>
      </c>
      <c r="AP20" s="84" t="s">
        <v>310</v>
      </c>
      <c r="AQ20" s="84" t="s">
        <v>310</v>
      </c>
      <c r="AR20" s="84" t="s">
        <v>310</v>
      </c>
      <c r="AS20" s="84" t="s">
        <v>310</v>
      </c>
      <c r="AT20" s="84" t="s">
        <v>310</v>
      </c>
      <c r="AU20" s="84" t="s">
        <v>310</v>
      </c>
      <c r="AV20" s="84" t="s">
        <v>310</v>
      </c>
      <c r="AW20" s="84" t="s">
        <v>310</v>
      </c>
      <c r="AX20" s="84" t="s">
        <v>310</v>
      </c>
      <c r="AY20" s="84" t="s">
        <v>310</v>
      </c>
      <c r="AZ20" s="84" t="s">
        <v>310</v>
      </c>
      <c r="BA20" s="84" t="s">
        <v>310</v>
      </c>
      <c r="BB20" s="84" t="s">
        <v>310</v>
      </c>
      <c r="BC20" s="84" t="s">
        <v>310</v>
      </c>
      <c r="BD20" s="84" t="s">
        <v>310</v>
      </c>
      <c r="BE20" s="84" t="s">
        <v>310</v>
      </c>
      <c r="BF20" s="84" t="s">
        <v>310</v>
      </c>
      <c r="BG20" s="84" t="s">
        <v>310</v>
      </c>
      <c r="BH20" s="84" t="s">
        <v>310</v>
      </c>
      <c r="BI20" s="84" t="s">
        <v>310</v>
      </c>
      <c r="BJ20" s="84" t="s">
        <v>310</v>
      </c>
    </row>
    <row r="21" spans="1:62" s="80" customFormat="1" x14ac:dyDescent="0.3">
      <c r="A21" s="45">
        <v>204002</v>
      </c>
      <c r="B21" s="46" t="s">
        <v>209</v>
      </c>
      <c r="C21" s="46" t="s">
        <v>349</v>
      </c>
      <c r="D21" s="46" t="str">
        <f t="shared" si="0"/>
        <v>204002_Business trips_Daily allowance above the limits</v>
      </c>
      <c r="E21" s="76">
        <v>200000</v>
      </c>
      <c r="F21" s="76" t="s">
        <v>204</v>
      </c>
      <c r="G21" s="76" t="s">
        <v>196</v>
      </c>
      <c r="H21" s="77" t="str">
        <f t="shared" si="1"/>
        <v>200000_Institute development costs</v>
      </c>
      <c r="I21" s="76">
        <v>204000</v>
      </c>
      <c r="J21" s="76" t="s">
        <v>207</v>
      </c>
      <c r="K21" s="76" t="s">
        <v>348</v>
      </c>
      <c r="L21" s="77" t="str">
        <f t="shared" si="2"/>
        <v>204000_Business trips</v>
      </c>
      <c r="M21" s="76" t="s">
        <v>350</v>
      </c>
      <c r="N21" s="78" t="s">
        <v>203</v>
      </c>
      <c r="O21" s="79" t="s">
        <v>310</v>
      </c>
      <c r="P21" s="79" t="s">
        <v>310</v>
      </c>
      <c r="Q21" s="79" t="s">
        <v>310</v>
      </c>
      <c r="R21" s="79" t="s">
        <v>310</v>
      </c>
      <c r="S21" s="79" t="s">
        <v>310</v>
      </c>
      <c r="T21" s="79" t="s">
        <v>310</v>
      </c>
      <c r="U21" s="79" t="s">
        <v>310</v>
      </c>
      <c r="V21" s="79" t="s">
        <v>310</v>
      </c>
      <c r="W21" s="79" t="s">
        <v>310</v>
      </c>
      <c r="X21" s="79" t="s">
        <v>310</v>
      </c>
      <c r="Y21" s="79" t="s">
        <v>310</v>
      </c>
      <c r="Z21" s="79" t="s">
        <v>310</v>
      </c>
      <c r="AA21" s="79" t="s">
        <v>310</v>
      </c>
      <c r="AB21" s="79" t="s">
        <v>310</v>
      </c>
      <c r="AC21" s="79" t="s">
        <v>310</v>
      </c>
      <c r="AD21" s="79" t="s">
        <v>310</v>
      </c>
      <c r="AE21" s="79" t="s">
        <v>310</v>
      </c>
      <c r="AF21" s="79" t="s">
        <v>310</v>
      </c>
      <c r="AG21" s="79" t="s">
        <v>310</v>
      </c>
      <c r="AH21" s="79" t="s">
        <v>310</v>
      </c>
      <c r="AI21" s="79" t="s">
        <v>310</v>
      </c>
      <c r="AJ21" s="79" t="s">
        <v>310</v>
      </c>
      <c r="AK21" s="79" t="s">
        <v>310</v>
      </c>
      <c r="AL21" s="79" t="s">
        <v>310</v>
      </c>
      <c r="AM21" s="79" t="s">
        <v>310</v>
      </c>
      <c r="AN21" s="79" t="s">
        <v>310</v>
      </c>
      <c r="AO21" s="79" t="s">
        <v>310</v>
      </c>
      <c r="AP21" s="79" t="s">
        <v>310</v>
      </c>
      <c r="AQ21" s="79" t="s">
        <v>310</v>
      </c>
      <c r="AR21" s="79" t="s">
        <v>310</v>
      </c>
      <c r="AS21" s="79" t="s">
        <v>310</v>
      </c>
      <c r="AT21" s="79" t="s">
        <v>310</v>
      </c>
      <c r="AU21" s="79" t="s">
        <v>310</v>
      </c>
      <c r="AV21" s="79" t="s">
        <v>310</v>
      </c>
      <c r="AW21" s="79" t="s">
        <v>310</v>
      </c>
      <c r="AX21" s="79" t="s">
        <v>310</v>
      </c>
      <c r="AY21" s="79" t="s">
        <v>310</v>
      </c>
      <c r="AZ21" s="79" t="s">
        <v>310</v>
      </c>
      <c r="BA21" s="79" t="s">
        <v>310</v>
      </c>
      <c r="BB21" s="79" t="s">
        <v>310</v>
      </c>
      <c r="BC21" s="79" t="s">
        <v>310</v>
      </c>
      <c r="BD21" s="79" t="s">
        <v>310</v>
      </c>
      <c r="BE21" s="79" t="s">
        <v>310</v>
      </c>
      <c r="BF21" s="79" t="s">
        <v>310</v>
      </c>
      <c r="BG21" s="79" t="s">
        <v>310</v>
      </c>
      <c r="BH21" s="79" t="s">
        <v>310</v>
      </c>
      <c r="BI21" s="79" t="s">
        <v>310</v>
      </c>
      <c r="BJ21" s="79" t="s">
        <v>310</v>
      </c>
    </row>
    <row r="22" spans="1:62" s="85" customFormat="1" x14ac:dyDescent="0.3">
      <c r="A22" s="43">
        <v>204003</v>
      </c>
      <c r="B22" s="44" t="s">
        <v>210</v>
      </c>
      <c r="C22" s="44" t="s">
        <v>351</v>
      </c>
      <c r="D22" s="44" t="str">
        <f t="shared" si="0"/>
        <v>204003_Business trips_Accommodation</v>
      </c>
      <c r="E22" s="81">
        <v>200000</v>
      </c>
      <c r="F22" s="81" t="s">
        <v>204</v>
      </c>
      <c r="G22" s="44" t="s">
        <v>196</v>
      </c>
      <c r="H22" s="44" t="str">
        <f t="shared" si="1"/>
        <v>200000_Institute development costs</v>
      </c>
      <c r="I22" s="81">
        <v>204000</v>
      </c>
      <c r="J22" s="81" t="s">
        <v>207</v>
      </c>
      <c r="K22" s="44" t="s">
        <v>348</v>
      </c>
      <c r="L22" s="44" t="str">
        <f t="shared" si="2"/>
        <v>204000_Business trips</v>
      </c>
      <c r="M22" s="82" t="s">
        <v>308</v>
      </c>
      <c r="N22" s="83" t="s">
        <v>203</v>
      </c>
      <c r="O22" s="84" t="s">
        <v>310</v>
      </c>
      <c r="P22" s="84" t="s">
        <v>310</v>
      </c>
      <c r="Q22" s="84" t="s">
        <v>310</v>
      </c>
      <c r="R22" s="84" t="s">
        <v>310</v>
      </c>
      <c r="S22" s="84" t="s">
        <v>310</v>
      </c>
      <c r="T22" s="84" t="s">
        <v>310</v>
      </c>
      <c r="U22" s="84" t="s">
        <v>310</v>
      </c>
      <c r="V22" s="84" t="s">
        <v>310</v>
      </c>
      <c r="W22" s="84" t="s">
        <v>310</v>
      </c>
      <c r="X22" s="84" t="s">
        <v>310</v>
      </c>
      <c r="Y22" s="84" t="s">
        <v>310</v>
      </c>
      <c r="Z22" s="84" t="s">
        <v>310</v>
      </c>
      <c r="AA22" s="84" t="s">
        <v>310</v>
      </c>
      <c r="AB22" s="84" t="s">
        <v>310</v>
      </c>
      <c r="AC22" s="84" t="s">
        <v>310</v>
      </c>
      <c r="AD22" s="84" t="s">
        <v>310</v>
      </c>
      <c r="AE22" s="84" t="s">
        <v>310</v>
      </c>
      <c r="AF22" s="84" t="s">
        <v>310</v>
      </c>
      <c r="AG22" s="84" t="s">
        <v>310</v>
      </c>
      <c r="AH22" s="84" t="s">
        <v>310</v>
      </c>
      <c r="AI22" s="84" t="s">
        <v>310</v>
      </c>
      <c r="AJ22" s="84" t="s">
        <v>310</v>
      </c>
      <c r="AK22" s="84" t="s">
        <v>310</v>
      </c>
      <c r="AL22" s="84" t="s">
        <v>310</v>
      </c>
      <c r="AM22" s="84" t="s">
        <v>310</v>
      </c>
      <c r="AN22" s="84" t="s">
        <v>310</v>
      </c>
      <c r="AO22" s="84" t="s">
        <v>310</v>
      </c>
      <c r="AP22" s="84" t="s">
        <v>310</v>
      </c>
      <c r="AQ22" s="84" t="s">
        <v>310</v>
      </c>
      <c r="AR22" s="84" t="s">
        <v>310</v>
      </c>
      <c r="AS22" s="84" t="s">
        <v>310</v>
      </c>
      <c r="AT22" s="84" t="s">
        <v>310</v>
      </c>
      <c r="AU22" s="84" t="s">
        <v>310</v>
      </c>
      <c r="AV22" s="84" t="s">
        <v>310</v>
      </c>
      <c r="AW22" s="84" t="s">
        <v>310</v>
      </c>
      <c r="AX22" s="84" t="s">
        <v>310</v>
      </c>
      <c r="AY22" s="84" t="s">
        <v>310</v>
      </c>
      <c r="AZ22" s="84" t="s">
        <v>310</v>
      </c>
      <c r="BA22" s="84" t="s">
        <v>310</v>
      </c>
      <c r="BB22" s="84" t="s">
        <v>310</v>
      </c>
      <c r="BC22" s="84" t="s">
        <v>310</v>
      </c>
      <c r="BD22" s="84" t="s">
        <v>310</v>
      </c>
      <c r="BE22" s="84" t="s">
        <v>310</v>
      </c>
      <c r="BF22" s="84" t="s">
        <v>310</v>
      </c>
      <c r="BG22" s="84" t="s">
        <v>310</v>
      </c>
      <c r="BH22" s="84" t="s">
        <v>310</v>
      </c>
      <c r="BI22" s="84" t="s">
        <v>310</v>
      </c>
      <c r="BJ22" s="84" t="s">
        <v>310</v>
      </c>
    </row>
    <row r="23" spans="1:62" s="80" customFormat="1" x14ac:dyDescent="0.3">
      <c r="A23" s="45">
        <v>204004</v>
      </c>
      <c r="B23" s="46" t="s">
        <v>211</v>
      </c>
      <c r="C23" s="46" t="s">
        <v>352</v>
      </c>
      <c r="D23" s="46" t="str">
        <f t="shared" si="0"/>
        <v>204004_Business trips_Transport expenses</v>
      </c>
      <c r="E23" s="76">
        <v>200000</v>
      </c>
      <c r="F23" s="76" t="s">
        <v>204</v>
      </c>
      <c r="G23" s="76" t="s">
        <v>196</v>
      </c>
      <c r="H23" s="77" t="str">
        <f t="shared" si="1"/>
        <v>200000_Institute development costs</v>
      </c>
      <c r="I23" s="76">
        <v>204000</v>
      </c>
      <c r="J23" s="76" t="s">
        <v>207</v>
      </c>
      <c r="K23" s="76" t="s">
        <v>348</v>
      </c>
      <c r="L23" s="77" t="str">
        <f t="shared" si="2"/>
        <v>204000_Business trips</v>
      </c>
      <c r="M23" s="76" t="s">
        <v>308</v>
      </c>
      <c r="N23" s="78" t="s">
        <v>203</v>
      </c>
      <c r="O23" s="79" t="s">
        <v>310</v>
      </c>
      <c r="P23" s="79" t="s">
        <v>310</v>
      </c>
      <c r="Q23" s="79" t="s">
        <v>310</v>
      </c>
      <c r="R23" s="79" t="s">
        <v>310</v>
      </c>
      <c r="S23" s="79" t="s">
        <v>310</v>
      </c>
      <c r="T23" s="79" t="s">
        <v>310</v>
      </c>
      <c r="U23" s="79" t="s">
        <v>310</v>
      </c>
      <c r="V23" s="79" t="s">
        <v>310</v>
      </c>
      <c r="W23" s="79" t="s">
        <v>310</v>
      </c>
      <c r="X23" s="79" t="s">
        <v>310</v>
      </c>
      <c r="Y23" s="79" t="s">
        <v>310</v>
      </c>
      <c r="Z23" s="79" t="s">
        <v>310</v>
      </c>
      <c r="AA23" s="79" t="s">
        <v>310</v>
      </c>
      <c r="AB23" s="79" t="s">
        <v>310</v>
      </c>
      <c r="AC23" s="79" t="s">
        <v>310</v>
      </c>
      <c r="AD23" s="79" t="s">
        <v>310</v>
      </c>
      <c r="AE23" s="79" t="s">
        <v>310</v>
      </c>
      <c r="AF23" s="79" t="s">
        <v>310</v>
      </c>
      <c r="AG23" s="79" t="s">
        <v>310</v>
      </c>
      <c r="AH23" s="79" t="s">
        <v>310</v>
      </c>
      <c r="AI23" s="79" t="s">
        <v>310</v>
      </c>
      <c r="AJ23" s="79" t="s">
        <v>310</v>
      </c>
      <c r="AK23" s="79" t="s">
        <v>310</v>
      </c>
      <c r="AL23" s="79" t="s">
        <v>310</v>
      </c>
      <c r="AM23" s="79" t="s">
        <v>310</v>
      </c>
      <c r="AN23" s="79" t="s">
        <v>310</v>
      </c>
      <c r="AO23" s="79" t="s">
        <v>310</v>
      </c>
      <c r="AP23" s="79" t="s">
        <v>310</v>
      </c>
      <c r="AQ23" s="79" t="s">
        <v>310</v>
      </c>
      <c r="AR23" s="79" t="s">
        <v>310</v>
      </c>
      <c r="AS23" s="79" t="s">
        <v>310</v>
      </c>
      <c r="AT23" s="79" t="s">
        <v>310</v>
      </c>
      <c r="AU23" s="79" t="s">
        <v>310</v>
      </c>
      <c r="AV23" s="79" t="s">
        <v>310</v>
      </c>
      <c r="AW23" s="79" t="s">
        <v>310</v>
      </c>
      <c r="AX23" s="79" t="s">
        <v>310</v>
      </c>
      <c r="AY23" s="79" t="s">
        <v>310</v>
      </c>
      <c r="AZ23" s="79" t="s">
        <v>310</v>
      </c>
      <c r="BA23" s="79" t="s">
        <v>310</v>
      </c>
      <c r="BB23" s="79" t="s">
        <v>310</v>
      </c>
      <c r="BC23" s="79" t="s">
        <v>310</v>
      </c>
      <c r="BD23" s="79" t="s">
        <v>310</v>
      </c>
      <c r="BE23" s="79" t="s">
        <v>310</v>
      </c>
      <c r="BF23" s="79" t="s">
        <v>310</v>
      </c>
      <c r="BG23" s="79" t="s">
        <v>310</v>
      </c>
      <c r="BH23" s="79" t="s">
        <v>310</v>
      </c>
      <c r="BI23" s="79" t="s">
        <v>310</v>
      </c>
      <c r="BJ23" s="79" t="s">
        <v>310</v>
      </c>
    </row>
    <row r="24" spans="1:62" s="85" customFormat="1" x14ac:dyDescent="0.3">
      <c r="A24" s="43">
        <v>204005</v>
      </c>
      <c r="B24" s="44" t="s">
        <v>212</v>
      </c>
      <c r="C24" s="44" t="s">
        <v>353</v>
      </c>
      <c r="D24" s="44" t="str">
        <f t="shared" si="0"/>
        <v>204005_Business trips_Services fee</v>
      </c>
      <c r="E24" s="81">
        <v>200000</v>
      </c>
      <c r="F24" s="81" t="s">
        <v>204</v>
      </c>
      <c r="G24" s="44" t="s">
        <v>196</v>
      </c>
      <c r="H24" s="44" t="str">
        <f t="shared" si="1"/>
        <v>200000_Institute development costs</v>
      </c>
      <c r="I24" s="81">
        <v>204000</v>
      </c>
      <c r="J24" s="81" t="s">
        <v>207</v>
      </c>
      <c r="K24" s="44" t="s">
        <v>348</v>
      </c>
      <c r="L24" s="44" t="str">
        <f t="shared" si="2"/>
        <v>204000_Business trips</v>
      </c>
      <c r="M24" s="82" t="s">
        <v>308</v>
      </c>
      <c r="N24" s="83" t="s">
        <v>203</v>
      </c>
      <c r="O24" s="84" t="s">
        <v>310</v>
      </c>
      <c r="P24" s="84" t="s">
        <v>310</v>
      </c>
      <c r="Q24" s="84" t="s">
        <v>310</v>
      </c>
      <c r="R24" s="84" t="s">
        <v>310</v>
      </c>
      <c r="S24" s="84" t="s">
        <v>310</v>
      </c>
      <c r="T24" s="84" t="s">
        <v>310</v>
      </c>
      <c r="U24" s="84" t="s">
        <v>310</v>
      </c>
      <c r="V24" s="84" t="s">
        <v>310</v>
      </c>
      <c r="W24" s="84" t="s">
        <v>310</v>
      </c>
      <c r="X24" s="84" t="s">
        <v>310</v>
      </c>
      <c r="Y24" s="84" t="s">
        <v>310</v>
      </c>
      <c r="Z24" s="84" t="s">
        <v>310</v>
      </c>
      <c r="AA24" s="84" t="s">
        <v>310</v>
      </c>
      <c r="AB24" s="84" t="s">
        <v>310</v>
      </c>
      <c r="AC24" s="84" t="s">
        <v>310</v>
      </c>
      <c r="AD24" s="84" t="s">
        <v>310</v>
      </c>
      <c r="AE24" s="84" t="s">
        <v>310</v>
      </c>
      <c r="AF24" s="84" t="s">
        <v>310</v>
      </c>
      <c r="AG24" s="84" t="s">
        <v>310</v>
      </c>
      <c r="AH24" s="84" t="s">
        <v>310</v>
      </c>
      <c r="AI24" s="84" t="s">
        <v>310</v>
      </c>
      <c r="AJ24" s="84" t="s">
        <v>310</v>
      </c>
      <c r="AK24" s="84" t="s">
        <v>310</v>
      </c>
      <c r="AL24" s="84" t="s">
        <v>310</v>
      </c>
      <c r="AM24" s="84" t="s">
        <v>310</v>
      </c>
      <c r="AN24" s="84" t="s">
        <v>310</v>
      </c>
      <c r="AO24" s="84" t="s">
        <v>310</v>
      </c>
      <c r="AP24" s="84" t="s">
        <v>310</v>
      </c>
      <c r="AQ24" s="84" t="s">
        <v>310</v>
      </c>
      <c r="AR24" s="84" t="s">
        <v>310</v>
      </c>
      <c r="AS24" s="84" t="s">
        <v>310</v>
      </c>
      <c r="AT24" s="84" t="s">
        <v>310</v>
      </c>
      <c r="AU24" s="84" t="s">
        <v>310</v>
      </c>
      <c r="AV24" s="84" t="s">
        <v>310</v>
      </c>
      <c r="AW24" s="84" t="s">
        <v>310</v>
      </c>
      <c r="AX24" s="84" t="s">
        <v>310</v>
      </c>
      <c r="AY24" s="84" t="s">
        <v>310</v>
      </c>
      <c r="AZ24" s="84" t="s">
        <v>310</v>
      </c>
      <c r="BA24" s="84" t="s">
        <v>310</v>
      </c>
      <c r="BB24" s="84" t="s">
        <v>310</v>
      </c>
      <c r="BC24" s="84" t="s">
        <v>310</v>
      </c>
      <c r="BD24" s="84" t="s">
        <v>310</v>
      </c>
      <c r="BE24" s="84" t="s">
        <v>310</v>
      </c>
      <c r="BF24" s="84" t="s">
        <v>310</v>
      </c>
      <c r="BG24" s="84" t="s">
        <v>310</v>
      </c>
      <c r="BH24" s="84" t="s">
        <v>310</v>
      </c>
      <c r="BI24" s="84" t="s">
        <v>310</v>
      </c>
      <c r="BJ24" s="84" t="s">
        <v>310</v>
      </c>
    </row>
    <row r="25" spans="1:62" s="80" customFormat="1" x14ac:dyDescent="0.3">
      <c r="A25" s="45">
        <v>204006</v>
      </c>
      <c r="B25" s="46" t="s">
        <v>213</v>
      </c>
      <c r="C25" s="46" t="s">
        <v>354</v>
      </c>
      <c r="D25" s="46" t="str">
        <f t="shared" si="0"/>
        <v>204006_Business trips_Taxi</v>
      </c>
      <c r="E25" s="76">
        <v>200000</v>
      </c>
      <c r="F25" s="76" t="s">
        <v>204</v>
      </c>
      <c r="G25" s="76" t="s">
        <v>196</v>
      </c>
      <c r="H25" s="77" t="str">
        <f t="shared" si="1"/>
        <v>200000_Institute development costs</v>
      </c>
      <c r="I25" s="76">
        <v>204000</v>
      </c>
      <c r="J25" s="76" t="s">
        <v>207</v>
      </c>
      <c r="K25" s="76" t="s">
        <v>348</v>
      </c>
      <c r="L25" s="77" t="str">
        <f t="shared" si="2"/>
        <v>204000_Business trips</v>
      </c>
      <c r="M25" s="76" t="s">
        <v>308</v>
      </c>
      <c r="N25" s="78" t="s">
        <v>203</v>
      </c>
      <c r="O25" s="79" t="s">
        <v>310</v>
      </c>
      <c r="P25" s="79" t="s">
        <v>310</v>
      </c>
      <c r="Q25" s="79" t="s">
        <v>310</v>
      </c>
      <c r="R25" s="79" t="s">
        <v>310</v>
      </c>
      <c r="S25" s="79" t="s">
        <v>310</v>
      </c>
      <c r="T25" s="79" t="s">
        <v>310</v>
      </c>
      <c r="U25" s="79" t="s">
        <v>310</v>
      </c>
      <c r="V25" s="79" t="s">
        <v>310</v>
      </c>
      <c r="W25" s="79" t="s">
        <v>310</v>
      </c>
      <c r="X25" s="79" t="s">
        <v>310</v>
      </c>
      <c r="Y25" s="79" t="s">
        <v>310</v>
      </c>
      <c r="Z25" s="79" t="s">
        <v>310</v>
      </c>
      <c r="AA25" s="79" t="s">
        <v>310</v>
      </c>
      <c r="AB25" s="79" t="s">
        <v>310</v>
      </c>
      <c r="AC25" s="79" t="s">
        <v>310</v>
      </c>
      <c r="AD25" s="79" t="s">
        <v>310</v>
      </c>
      <c r="AE25" s="79" t="s">
        <v>310</v>
      </c>
      <c r="AF25" s="79" t="s">
        <v>310</v>
      </c>
      <c r="AG25" s="79" t="s">
        <v>310</v>
      </c>
      <c r="AH25" s="79" t="s">
        <v>310</v>
      </c>
      <c r="AI25" s="79" t="s">
        <v>310</v>
      </c>
      <c r="AJ25" s="79" t="s">
        <v>310</v>
      </c>
      <c r="AK25" s="79" t="s">
        <v>310</v>
      </c>
      <c r="AL25" s="79" t="s">
        <v>310</v>
      </c>
      <c r="AM25" s="79" t="s">
        <v>310</v>
      </c>
      <c r="AN25" s="79" t="s">
        <v>310</v>
      </c>
      <c r="AO25" s="79" t="s">
        <v>310</v>
      </c>
      <c r="AP25" s="79" t="s">
        <v>310</v>
      </c>
      <c r="AQ25" s="79" t="s">
        <v>310</v>
      </c>
      <c r="AR25" s="79" t="s">
        <v>310</v>
      </c>
      <c r="AS25" s="79" t="s">
        <v>310</v>
      </c>
      <c r="AT25" s="79" t="s">
        <v>310</v>
      </c>
      <c r="AU25" s="79" t="s">
        <v>310</v>
      </c>
      <c r="AV25" s="79" t="s">
        <v>310</v>
      </c>
      <c r="AW25" s="79" t="s">
        <v>310</v>
      </c>
      <c r="AX25" s="79" t="s">
        <v>310</v>
      </c>
      <c r="AY25" s="79" t="s">
        <v>310</v>
      </c>
      <c r="AZ25" s="79" t="s">
        <v>310</v>
      </c>
      <c r="BA25" s="79" t="s">
        <v>310</v>
      </c>
      <c r="BB25" s="79" t="s">
        <v>310</v>
      </c>
      <c r="BC25" s="79" t="s">
        <v>310</v>
      </c>
      <c r="BD25" s="79" t="s">
        <v>310</v>
      </c>
      <c r="BE25" s="79" t="s">
        <v>310</v>
      </c>
      <c r="BF25" s="79" t="s">
        <v>310</v>
      </c>
      <c r="BG25" s="79" t="s">
        <v>310</v>
      </c>
      <c r="BH25" s="79" t="s">
        <v>310</v>
      </c>
      <c r="BI25" s="79" t="s">
        <v>310</v>
      </c>
      <c r="BJ25" s="79" t="s">
        <v>310</v>
      </c>
    </row>
    <row r="26" spans="1:62" s="85" customFormat="1" x14ac:dyDescent="0.3">
      <c r="A26" s="43">
        <v>204007</v>
      </c>
      <c r="B26" s="44" t="s">
        <v>355</v>
      </c>
      <c r="C26" s="44" t="s">
        <v>356</v>
      </c>
      <c r="D26" s="44" t="str">
        <f t="shared" si="0"/>
        <v>204007_Business trips_Registration expenses</v>
      </c>
      <c r="E26" s="81">
        <v>200000</v>
      </c>
      <c r="F26" s="81" t="s">
        <v>204</v>
      </c>
      <c r="G26" s="44" t="s">
        <v>196</v>
      </c>
      <c r="H26" s="44" t="str">
        <f t="shared" si="1"/>
        <v>200000_Institute development costs</v>
      </c>
      <c r="I26" s="81">
        <v>204000</v>
      </c>
      <c r="J26" s="81" t="s">
        <v>207</v>
      </c>
      <c r="K26" s="44" t="s">
        <v>348</v>
      </c>
      <c r="L26" s="44" t="str">
        <f t="shared" si="2"/>
        <v>204000_Business trips</v>
      </c>
      <c r="M26" s="82" t="s">
        <v>308</v>
      </c>
      <c r="N26" s="83" t="s">
        <v>203</v>
      </c>
      <c r="O26" s="84" t="s">
        <v>310</v>
      </c>
      <c r="P26" s="84" t="s">
        <v>310</v>
      </c>
      <c r="Q26" s="84" t="s">
        <v>310</v>
      </c>
      <c r="R26" s="84" t="s">
        <v>310</v>
      </c>
      <c r="S26" s="84" t="s">
        <v>310</v>
      </c>
      <c r="T26" s="84" t="s">
        <v>310</v>
      </c>
      <c r="U26" s="84" t="s">
        <v>310</v>
      </c>
      <c r="V26" s="84" t="s">
        <v>310</v>
      </c>
      <c r="W26" s="84" t="s">
        <v>310</v>
      </c>
      <c r="X26" s="84" t="s">
        <v>310</v>
      </c>
      <c r="Y26" s="84" t="s">
        <v>310</v>
      </c>
      <c r="Z26" s="84" t="s">
        <v>310</v>
      </c>
      <c r="AA26" s="84" t="s">
        <v>310</v>
      </c>
      <c r="AB26" s="84" t="s">
        <v>310</v>
      </c>
      <c r="AC26" s="84" t="s">
        <v>310</v>
      </c>
      <c r="AD26" s="84" t="s">
        <v>310</v>
      </c>
      <c r="AE26" s="84" t="s">
        <v>310</v>
      </c>
      <c r="AF26" s="84" t="s">
        <v>310</v>
      </c>
      <c r="AG26" s="84" t="s">
        <v>310</v>
      </c>
      <c r="AH26" s="84" t="s">
        <v>310</v>
      </c>
      <c r="AI26" s="84" t="s">
        <v>310</v>
      </c>
      <c r="AJ26" s="84" t="s">
        <v>310</v>
      </c>
      <c r="AK26" s="84" t="s">
        <v>310</v>
      </c>
      <c r="AL26" s="84" t="s">
        <v>310</v>
      </c>
      <c r="AM26" s="84" t="s">
        <v>310</v>
      </c>
      <c r="AN26" s="84" t="s">
        <v>310</v>
      </c>
      <c r="AO26" s="84" t="s">
        <v>310</v>
      </c>
      <c r="AP26" s="84" t="s">
        <v>310</v>
      </c>
      <c r="AQ26" s="84" t="s">
        <v>310</v>
      </c>
      <c r="AR26" s="84" t="s">
        <v>310</v>
      </c>
      <c r="AS26" s="84" t="s">
        <v>310</v>
      </c>
      <c r="AT26" s="84" t="s">
        <v>310</v>
      </c>
      <c r="AU26" s="84" t="s">
        <v>310</v>
      </c>
      <c r="AV26" s="84" t="s">
        <v>310</v>
      </c>
      <c r="AW26" s="84" t="s">
        <v>310</v>
      </c>
      <c r="AX26" s="84" t="s">
        <v>310</v>
      </c>
      <c r="AY26" s="84" t="s">
        <v>310</v>
      </c>
      <c r="AZ26" s="84" t="s">
        <v>310</v>
      </c>
      <c r="BA26" s="84" t="s">
        <v>310</v>
      </c>
      <c r="BB26" s="84" t="s">
        <v>310</v>
      </c>
      <c r="BC26" s="84" t="s">
        <v>310</v>
      </c>
      <c r="BD26" s="84" t="s">
        <v>310</v>
      </c>
      <c r="BE26" s="84" t="s">
        <v>310</v>
      </c>
      <c r="BF26" s="84" t="s">
        <v>310</v>
      </c>
      <c r="BG26" s="84" t="s">
        <v>310</v>
      </c>
      <c r="BH26" s="84" t="s">
        <v>310</v>
      </c>
      <c r="BI26" s="84" t="s">
        <v>310</v>
      </c>
      <c r="BJ26" s="84" t="s">
        <v>310</v>
      </c>
    </row>
    <row r="27" spans="1:62" s="80" customFormat="1" x14ac:dyDescent="0.3">
      <c r="A27" s="45">
        <v>204999</v>
      </c>
      <c r="B27" s="46" t="s">
        <v>214</v>
      </c>
      <c r="C27" s="46" t="s">
        <v>357</v>
      </c>
      <c r="D27" s="46" t="str">
        <f t="shared" si="0"/>
        <v>204999_Business trips_Other</v>
      </c>
      <c r="E27" s="76">
        <v>200000</v>
      </c>
      <c r="F27" s="76" t="s">
        <v>204</v>
      </c>
      <c r="G27" s="76" t="s">
        <v>196</v>
      </c>
      <c r="H27" s="77" t="str">
        <f t="shared" si="1"/>
        <v>200000_Institute development costs</v>
      </c>
      <c r="I27" s="76">
        <v>204000</v>
      </c>
      <c r="J27" s="76" t="s">
        <v>207</v>
      </c>
      <c r="K27" s="76" t="s">
        <v>348</v>
      </c>
      <c r="L27" s="77" t="str">
        <f t="shared" si="2"/>
        <v>204000_Business trips</v>
      </c>
      <c r="M27" s="76" t="s">
        <v>308</v>
      </c>
      <c r="N27" s="78" t="s">
        <v>203</v>
      </c>
      <c r="O27" s="79" t="s">
        <v>310</v>
      </c>
      <c r="P27" s="79" t="s">
        <v>310</v>
      </c>
      <c r="Q27" s="79" t="s">
        <v>310</v>
      </c>
      <c r="R27" s="79" t="s">
        <v>310</v>
      </c>
      <c r="S27" s="79" t="s">
        <v>310</v>
      </c>
      <c r="T27" s="79" t="s">
        <v>310</v>
      </c>
      <c r="U27" s="79" t="s">
        <v>310</v>
      </c>
      <c r="V27" s="79" t="s">
        <v>310</v>
      </c>
      <c r="W27" s="79" t="s">
        <v>310</v>
      </c>
      <c r="X27" s="79" t="s">
        <v>310</v>
      </c>
      <c r="Y27" s="79" t="s">
        <v>310</v>
      </c>
      <c r="Z27" s="79" t="s">
        <v>310</v>
      </c>
      <c r="AA27" s="79" t="s">
        <v>310</v>
      </c>
      <c r="AB27" s="79" t="s">
        <v>310</v>
      </c>
      <c r="AC27" s="79" t="s">
        <v>310</v>
      </c>
      <c r="AD27" s="79" t="s">
        <v>310</v>
      </c>
      <c r="AE27" s="79" t="s">
        <v>310</v>
      </c>
      <c r="AF27" s="79" t="s">
        <v>310</v>
      </c>
      <c r="AG27" s="79" t="s">
        <v>310</v>
      </c>
      <c r="AH27" s="79" t="s">
        <v>310</v>
      </c>
      <c r="AI27" s="79" t="s">
        <v>310</v>
      </c>
      <c r="AJ27" s="79" t="s">
        <v>310</v>
      </c>
      <c r="AK27" s="79" t="s">
        <v>310</v>
      </c>
      <c r="AL27" s="79" t="s">
        <v>310</v>
      </c>
      <c r="AM27" s="79" t="s">
        <v>310</v>
      </c>
      <c r="AN27" s="79" t="s">
        <v>310</v>
      </c>
      <c r="AO27" s="79" t="s">
        <v>310</v>
      </c>
      <c r="AP27" s="79" t="s">
        <v>310</v>
      </c>
      <c r="AQ27" s="79" t="s">
        <v>310</v>
      </c>
      <c r="AR27" s="79" t="s">
        <v>310</v>
      </c>
      <c r="AS27" s="79" t="s">
        <v>310</v>
      </c>
      <c r="AT27" s="79" t="s">
        <v>310</v>
      </c>
      <c r="AU27" s="79" t="s">
        <v>310</v>
      </c>
      <c r="AV27" s="79" t="s">
        <v>310</v>
      </c>
      <c r="AW27" s="79" t="s">
        <v>310</v>
      </c>
      <c r="AX27" s="79" t="s">
        <v>310</v>
      </c>
      <c r="AY27" s="79" t="s">
        <v>310</v>
      </c>
      <c r="AZ27" s="79" t="s">
        <v>310</v>
      </c>
      <c r="BA27" s="79" t="s">
        <v>310</v>
      </c>
      <c r="BB27" s="79" t="s">
        <v>310</v>
      </c>
      <c r="BC27" s="79" t="s">
        <v>310</v>
      </c>
      <c r="BD27" s="79" t="s">
        <v>310</v>
      </c>
      <c r="BE27" s="79" t="s">
        <v>310</v>
      </c>
      <c r="BF27" s="79" t="s">
        <v>310</v>
      </c>
      <c r="BG27" s="79" t="s">
        <v>310</v>
      </c>
      <c r="BH27" s="79" t="s">
        <v>310</v>
      </c>
      <c r="BI27" s="79" t="s">
        <v>310</v>
      </c>
      <c r="BJ27" s="79" t="s">
        <v>310</v>
      </c>
    </row>
    <row r="28" spans="1:62" s="85" customFormat="1" x14ac:dyDescent="0.3">
      <c r="A28" s="43">
        <v>205001</v>
      </c>
      <c r="B28" s="44" t="s">
        <v>358</v>
      </c>
      <c r="C28" s="44" t="s">
        <v>359</v>
      </c>
      <c r="D28" s="44" t="str">
        <f t="shared" si="0"/>
        <v>205001_Payments to Institutes-partners (Russian)</v>
      </c>
      <c r="E28" s="81">
        <v>200000</v>
      </c>
      <c r="F28" s="81" t="s">
        <v>204</v>
      </c>
      <c r="G28" s="44" t="s">
        <v>196</v>
      </c>
      <c r="H28" s="44" t="str">
        <f t="shared" si="1"/>
        <v>200000_Institute development costs</v>
      </c>
      <c r="I28" s="81">
        <v>205000</v>
      </c>
      <c r="J28" s="81" t="s">
        <v>360</v>
      </c>
      <c r="K28" s="44" t="s">
        <v>361</v>
      </c>
      <c r="L28" s="44" t="str">
        <f t="shared" si="2"/>
        <v>205000_Research activity delopment expenses</v>
      </c>
      <c r="M28" s="82" t="s">
        <v>308</v>
      </c>
      <c r="N28" s="83" t="s">
        <v>203</v>
      </c>
      <c r="O28" s="84" t="s">
        <v>203</v>
      </c>
      <c r="P28" s="84" t="s">
        <v>203</v>
      </c>
      <c r="Q28" s="84" t="s">
        <v>203</v>
      </c>
      <c r="R28" s="84" t="s">
        <v>203</v>
      </c>
      <c r="S28" s="84" t="s">
        <v>203</v>
      </c>
      <c r="T28" s="84" t="s">
        <v>203</v>
      </c>
      <c r="U28" s="84" t="s">
        <v>203</v>
      </c>
      <c r="V28" s="84" t="s">
        <v>203</v>
      </c>
      <c r="W28" s="84" t="s">
        <v>203</v>
      </c>
      <c r="X28" s="84" t="s">
        <v>203</v>
      </c>
      <c r="Y28" s="84" t="s">
        <v>203</v>
      </c>
      <c r="Z28" s="84" t="s">
        <v>203</v>
      </c>
      <c r="AA28" s="84" t="s">
        <v>203</v>
      </c>
      <c r="AB28" s="84" t="s">
        <v>203</v>
      </c>
      <c r="AC28" s="84" t="s">
        <v>203</v>
      </c>
      <c r="AD28" s="84" t="s">
        <v>203</v>
      </c>
      <c r="AE28" s="84" t="s">
        <v>203</v>
      </c>
      <c r="AF28" s="84" t="s">
        <v>203</v>
      </c>
      <c r="AG28" s="84" t="s">
        <v>203</v>
      </c>
      <c r="AH28" s="84" t="s">
        <v>203</v>
      </c>
      <c r="AI28" s="84" t="s">
        <v>203</v>
      </c>
      <c r="AJ28" s="84" t="s">
        <v>203</v>
      </c>
      <c r="AK28" s="84" t="s">
        <v>203</v>
      </c>
      <c r="AL28" s="84" t="s">
        <v>203</v>
      </c>
      <c r="AM28" s="84" t="s">
        <v>203</v>
      </c>
      <c r="AN28" s="84" t="s">
        <v>203</v>
      </c>
      <c r="AO28" s="84" t="s">
        <v>310</v>
      </c>
      <c r="AP28" s="84" t="s">
        <v>310</v>
      </c>
      <c r="AQ28" s="84" t="s">
        <v>310</v>
      </c>
      <c r="AR28" s="84" t="s">
        <v>310</v>
      </c>
      <c r="AS28" s="84" t="s">
        <v>203</v>
      </c>
      <c r="AT28" s="84" t="s">
        <v>310</v>
      </c>
      <c r="AU28" s="84" t="s">
        <v>310</v>
      </c>
      <c r="AV28" s="84" t="s">
        <v>310</v>
      </c>
      <c r="AW28" s="84" t="s">
        <v>310</v>
      </c>
      <c r="AX28" s="84" t="s">
        <v>310</v>
      </c>
      <c r="AY28" s="84" t="s">
        <v>310</v>
      </c>
      <c r="AZ28" s="84" t="s">
        <v>310</v>
      </c>
      <c r="BA28" s="84" t="s">
        <v>310</v>
      </c>
      <c r="BB28" s="84" t="s">
        <v>310</v>
      </c>
      <c r="BC28" s="84" t="s">
        <v>310</v>
      </c>
      <c r="BD28" s="84" t="s">
        <v>310</v>
      </c>
      <c r="BE28" s="84" t="s">
        <v>310</v>
      </c>
      <c r="BF28" s="84" t="s">
        <v>310</v>
      </c>
      <c r="BG28" s="84" t="s">
        <v>310</v>
      </c>
      <c r="BH28" s="84" t="s">
        <v>310</v>
      </c>
      <c r="BI28" s="84" t="s">
        <v>310</v>
      </c>
      <c r="BJ28" s="84" t="s">
        <v>310</v>
      </c>
    </row>
    <row r="29" spans="1:62" s="80" customFormat="1" x14ac:dyDescent="0.3">
      <c r="A29" s="45">
        <v>205002</v>
      </c>
      <c r="B29" s="46" t="s">
        <v>362</v>
      </c>
      <c r="C29" s="46" t="s">
        <v>363</v>
      </c>
      <c r="D29" s="46" t="str">
        <f t="shared" si="0"/>
        <v>205002_Payments to Institutes-partners (foreign)</v>
      </c>
      <c r="E29" s="76">
        <v>200000</v>
      </c>
      <c r="F29" s="76" t="s">
        <v>204</v>
      </c>
      <c r="G29" s="76" t="s">
        <v>196</v>
      </c>
      <c r="H29" s="77" t="str">
        <f t="shared" si="1"/>
        <v>200000_Institute development costs</v>
      </c>
      <c r="I29" s="76">
        <v>205000</v>
      </c>
      <c r="J29" s="76" t="s">
        <v>360</v>
      </c>
      <c r="K29" s="76" t="s">
        <v>361</v>
      </c>
      <c r="L29" s="77" t="str">
        <f t="shared" si="2"/>
        <v>205000_Research activity delopment expenses</v>
      </c>
      <c r="M29" s="76" t="s">
        <v>308</v>
      </c>
      <c r="N29" s="78" t="s">
        <v>203</v>
      </c>
      <c r="O29" s="79" t="s">
        <v>203</v>
      </c>
      <c r="P29" s="79" t="s">
        <v>203</v>
      </c>
      <c r="Q29" s="79" t="s">
        <v>203</v>
      </c>
      <c r="R29" s="79" t="s">
        <v>203</v>
      </c>
      <c r="S29" s="79" t="s">
        <v>203</v>
      </c>
      <c r="T29" s="79" t="s">
        <v>203</v>
      </c>
      <c r="U29" s="79" t="s">
        <v>203</v>
      </c>
      <c r="V29" s="79" t="s">
        <v>203</v>
      </c>
      <c r="W29" s="79" t="s">
        <v>203</v>
      </c>
      <c r="X29" s="79" t="s">
        <v>203</v>
      </c>
      <c r="Y29" s="79" t="s">
        <v>203</v>
      </c>
      <c r="Z29" s="79" t="s">
        <v>203</v>
      </c>
      <c r="AA29" s="79" t="s">
        <v>203</v>
      </c>
      <c r="AB29" s="79" t="s">
        <v>203</v>
      </c>
      <c r="AC29" s="79" t="s">
        <v>203</v>
      </c>
      <c r="AD29" s="79" t="s">
        <v>203</v>
      </c>
      <c r="AE29" s="79" t="s">
        <v>203</v>
      </c>
      <c r="AF29" s="79" t="s">
        <v>203</v>
      </c>
      <c r="AG29" s="79" t="s">
        <v>203</v>
      </c>
      <c r="AH29" s="79" t="s">
        <v>203</v>
      </c>
      <c r="AI29" s="79" t="s">
        <v>203</v>
      </c>
      <c r="AJ29" s="79" t="s">
        <v>203</v>
      </c>
      <c r="AK29" s="79" t="s">
        <v>203</v>
      </c>
      <c r="AL29" s="79" t="s">
        <v>203</v>
      </c>
      <c r="AM29" s="79" t="s">
        <v>203</v>
      </c>
      <c r="AN29" s="79" t="s">
        <v>203</v>
      </c>
      <c r="AO29" s="79" t="s">
        <v>310</v>
      </c>
      <c r="AP29" s="79" t="s">
        <v>310</v>
      </c>
      <c r="AQ29" s="79" t="s">
        <v>310</v>
      </c>
      <c r="AR29" s="79" t="s">
        <v>310</v>
      </c>
      <c r="AS29" s="79" t="s">
        <v>203</v>
      </c>
      <c r="AT29" s="79" t="s">
        <v>310</v>
      </c>
      <c r="AU29" s="79" t="s">
        <v>310</v>
      </c>
      <c r="AV29" s="79" t="s">
        <v>310</v>
      </c>
      <c r="AW29" s="79" t="s">
        <v>310</v>
      </c>
      <c r="AX29" s="79" t="s">
        <v>310</v>
      </c>
      <c r="AY29" s="79" t="s">
        <v>310</v>
      </c>
      <c r="AZ29" s="79" t="s">
        <v>310</v>
      </c>
      <c r="BA29" s="79" t="s">
        <v>310</v>
      </c>
      <c r="BB29" s="79" t="s">
        <v>310</v>
      </c>
      <c r="BC29" s="79" t="s">
        <v>310</v>
      </c>
      <c r="BD29" s="79" t="s">
        <v>310</v>
      </c>
      <c r="BE29" s="79" t="s">
        <v>310</v>
      </c>
      <c r="BF29" s="79" t="s">
        <v>310</v>
      </c>
      <c r="BG29" s="79" t="s">
        <v>310</v>
      </c>
      <c r="BH29" s="79" t="s">
        <v>310</v>
      </c>
      <c r="BI29" s="79" t="s">
        <v>310</v>
      </c>
      <c r="BJ29" s="79" t="s">
        <v>310</v>
      </c>
    </row>
    <row r="30" spans="1:62" s="85" customFormat="1" x14ac:dyDescent="0.3">
      <c r="A30" s="43">
        <v>205003</v>
      </c>
      <c r="B30" s="44" t="s">
        <v>364</v>
      </c>
      <c r="C30" s="44" t="s">
        <v>365</v>
      </c>
      <c r="D30" s="44" t="str">
        <f t="shared" si="0"/>
        <v>205003_Patents and licenses</v>
      </c>
      <c r="E30" s="81">
        <v>200000</v>
      </c>
      <c r="F30" s="81" t="s">
        <v>204</v>
      </c>
      <c r="G30" s="44" t="s">
        <v>196</v>
      </c>
      <c r="H30" s="44" t="str">
        <f t="shared" si="1"/>
        <v>200000_Institute development costs</v>
      </c>
      <c r="I30" s="81">
        <v>205000</v>
      </c>
      <c r="J30" s="81" t="s">
        <v>360</v>
      </c>
      <c r="K30" s="44" t="s">
        <v>361</v>
      </c>
      <c r="L30" s="44" t="str">
        <f t="shared" si="2"/>
        <v>205000_Research activity delopment expenses</v>
      </c>
      <c r="M30" s="82" t="s">
        <v>308</v>
      </c>
      <c r="N30" s="83" t="s">
        <v>366</v>
      </c>
      <c r="O30" s="84" t="s">
        <v>310</v>
      </c>
      <c r="P30" s="84" t="s">
        <v>310</v>
      </c>
      <c r="Q30" s="84" t="s">
        <v>310</v>
      </c>
      <c r="R30" s="84" t="s">
        <v>310</v>
      </c>
      <c r="S30" s="84" t="s">
        <v>310</v>
      </c>
      <c r="T30" s="84" t="s">
        <v>310</v>
      </c>
      <c r="U30" s="84" t="s">
        <v>310</v>
      </c>
      <c r="V30" s="84" t="s">
        <v>310</v>
      </c>
      <c r="W30" s="84" t="s">
        <v>310</v>
      </c>
      <c r="X30" s="84" t="s">
        <v>310</v>
      </c>
      <c r="Y30" s="84" t="s">
        <v>310</v>
      </c>
      <c r="Z30" s="84" t="s">
        <v>310</v>
      </c>
      <c r="AA30" s="84" t="s">
        <v>310</v>
      </c>
      <c r="AB30" s="84" t="s">
        <v>310</v>
      </c>
      <c r="AC30" s="84" t="s">
        <v>310</v>
      </c>
      <c r="AD30" s="84" t="s">
        <v>310</v>
      </c>
      <c r="AE30" s="84" t="s">
        <v>310</v>
      </c>
      <c r="AF30" s="84" t="s">
        <v>310</v>
      </c>
      <c r="AG30" s="84" t="s">
        <v>310</v>
      </c>
      <c r="AH30" s="84" t="s">
        <v>310</v>
      </c>
      <c r="AI30" s="84" t="s">
        <v>203</v>
      </c>
      <c r="AJ30" s="84" t="s">
        <v>310</v>
      </c>
      <c r="AK30" s="84" t="s">
        <v>203</v>
      </c>
      <c r="AL30" s="84" t="s">
        <v>310</v>
      </c>
      <c r="AM30" s="84" t="s">
        <v>203</v>
      </c>
      <c r="AN30" s="84" t="s">
        <v>203</v>
      </c>
      <c r="AO30" s="84" t="s">
        <v>203</v>
      </c>
      <c r="AP30" s="84" t="s">
        <v>310</v>
      </c>
      <c r="AQ30" s="84" t="s">
        <v>310</v>
      </c>
      <c r="AR30" s="84" t="s">
        <v>310</v>
      </c>
      <c r="AS30" s="84" t="s">
        <v>203</v>
      </c>
      <c r="AT30" s="84" t="s">
        <v>310</v>
      </c>
      <c r="AU30" s="84" t="s">
        <v>310</v>
      </c>
      <c r="AV30" s="84" t="s">
        <v>310</v>
      </c>
      <c r="AW30" s="84" t="s">
        <v>310</v>
      </c>
      <c r="AX30" s="84" t="s">
        <v>310</v>
      </c>
      <c r="AY30" s="84" t="s">
        <v>310</v>
      </c>
      <c r="AZ30" s="84" t="s">
        <v>310</v>
      </c>
      <c r="BA30" s="84" t="s">
        <v>310</v>
      </c>
      <c r="BB30" s="84" t="s">
        <v>310</v>
      </c>
      <c r="BC30" s="84" t="s">
        <v>310</v>
      </c>
      <c r="BD30" s="84" t="s">
        <v>310</v>
      </c>
      <c r="BE30" s="84" t="s">
        <v>310</v>
      </c>
      <c r="BF30" s="84" t="s">
        <v>310</v>
      </c>
      <c r="BG30" s="84" t="s">
        <v>310</v>
      </c>
      <c r="BH30" s="84" t="s">
        <v>310</v>
      </c>
      <c r="BI30" s="84" t="s">
        <v>310</v>
      </c>
      <c r="BJ30" s="84" t="s">
        <v>310</v>
      </c>
    </row>
    <row r="31" spans="1:62" s="80" customFormat="1" x14ac:dyDescent="0.3">
      <c r="A31" s="45">
        <v>205004</v>
      </c>
      <c r="B31" s="46" t="s">
        <v>367</v>
      </c>
      <c r="C31" s="46" t="s">
        <v>368</v>
      </c>
      <c r="D31" s="46" t="str">
        <f t="shared" si="0"/>
        <v>205004_Publications</v>
      </c>
      <c r="E31" s="76">
        <v>200000</v>
      </c>
      <c r="F31" s="76" t="s">
        <v>204</v>
      </c>
      <c r="G31" s="76" t="s">
        <v>196</v>
      </c>
      <c r="H31" s="77" t="str">
        <f t="shared" si="1"/>
        <v>200000_Institute development costs</v>
      </c>
      <c r="I31" s="76">
        <v>205000</v>
      </c>
      <c r="J31" s="76" t="s">
        <v>360</v>
      </c>
      <c r="K31" s="76" t="s">
        <v>361</v>
      </c>
      <c r="L31" s="77" t="str">
        <f t="shared" si="2"/>
        <v>205000_Research activity delopment expenses</v>
      </c>
      <c r="M31" s="76" t="s">
        <v>308</v>
      </c>
      <c r="N31" s="78" t="s">
        <v>369</v>
      </c>
      <c r="O31" s="79" t="s">
        <v>310</v>
      </c>
      <c r="P31" s="79" t="s">
        <v>310</v>
      </c>
      <c r="Q31" s="79" t="s">
        <v>310</v>
      </c>
      <c r="R31" s="79" t="s">
        <v>310</v>
      </c>
      <c r="S31" s="79" t="s">
        <v>310</v>
      </c>
      <c r="T31" s="79" t="s">
        <v>310</v>
      </c>
      <c r="U31" s="79" t="s">
        <v>310</v>
      </c>
      <c r="V31" s="79" t="s">
        <v>310</v>
      </c>
      <c r="W31" s="79" t="s">
        <v>310</v>
      </c>
      <c r="X31" s="79" t="s">
        <v>310</v>
      </c>
      <c r="Y31" s="79" t="s">
        <v>310</v>
      </c>
      <c r="Z31" s="79" t="s">
        <v>310</v>
      </c>
      <c r="AA31" s="79" t="s">
        <v>310</v>
      </c>
      <c r="AB31" s="79" t="s">
        <v>310</v>
      </c>
      <c r="AC31" s="79" t="s">
        <v>310</v>
      </c>
      <c r="AD31" s="79" t="s">
        <v>310</v>
      </c>
      <c r="AE31" s="79" t="s">
        <v>310</v>
      </c>
      <c r="AF31" s="79" t="s">
        <v>310</v>
      </c>
      <c r="AG31" s="79" t="s">
        <v>310</v>
      </c>
      <c r="AH31" s="79" t="s">
        <v>310</v>
      </c>
      <c r="AI31" s="79" t="s">
        <v>310</v>
      </c>
      <c r="AJ31" s="79" t="s">
        <v>310</v>
      </c>
      <c r="AK31" s="79" t="s">
        <v>310</v>
      </c>
      <c r="AL31" s="79" t="s">
        <v>310</v>
      </c>
      <c r="AM31" s="79" t="s">
        <v>203</v>
      </c>
      <c r="AN31" s="79" t="s">
        <v>203</v>
      </c>
      <c r="AO31" s="79" t="s">
        <v>310</v>
      </c>
      <c r="AP31" s="79" t="s">
        <v>310</v>
      </c>
      <c r="AQ31" s="79" t="s">
        <v>310</v>
      </c>
      <c r="AR31" s="79" t="s">
        <v>310</v>
      </c>
      <c r="AS31" s="79" t="s">
        <v>310</v>
      </c>
      <c r="AT31" s="79" t="s">
        <v>310</v>
      </c>
      <c r="AU31" s="79" t="s">
        <v>310</v>
      </c>
      <c r="AV31" s="79" t="s">
        <v>310</v>
      </c>
      <c r="AW31" s="79" t="s">
        <v>310</v>
      </c>
      <c r="AX31" s="79" t="s">
        <v>310</v>
      </c>
      <c r="AY31" s="79" t="s">
        <v>310</v>
      </c>
      <c r="AZ31" s="79" t="s">
        <v>310</v>
      </c>
      <c r="BA31" s="79" t="s">
        <v>310</v>
      </c>
      <c r="BB31" s="79" t="s">
        <v>310</v>
      </c>
      <c r="BC31" s="79" t="s">
        <v>310</v>
      </c>
      <c r="BD31" s="79" t="s">
        <v>310</v>
      </c>
      <c r="BE31" s="79" t="s">
        <v>310</v>
      </c>
      <c r="BF31" s="79" t="s">
        <v>310</v>
      </c>
      <c r="BG31" s="79" t="s">
        <v>310</v>
      </c>
      <c r="BH31" s="79" t="s">
        <v>310</v>
      </c>
      <c r="BI31" s="79" t="s">
        <v>310</v>
      </c>
      <c r="BJ31" s="79" t="s">
        <v>310</v>
      </c>
    </row>
    <row r="32" spans="1:62" s="85" customFormat="1" x14ac:dyDescent="0.3">
      <c r="A32" s="43">
        <v>299001</v>
      </c>
      <c r="B32" s="44" t="s">
        <v>370</v>
      </c>
      <c r="C32" s="44" t="s">
        <v>371</v>
      </c>
      <c r="D32" s="44" t="str">
        <f t="shared" si="0"/>
        <v>299001_Other Institute development costs</v>
      </c>
      <c r="E32" s="81">
        <v>200000</v>
      </c>
      <c r="F32" s="81" t="s">
        <v>204</v>
      </c>
      <c r="G32" s="44" t="s">
        <v>196</v>
      </c>
      <c r="H32" s="44" t="str">
        <f t="shared" si="1"/>
        <v>200000_Institute development costs</v>
      </c>
      <c r="I32" s="81">
        <v>299000</v>
      </c>
      <c r="J32" s="81" t="s">
        <v>370</v>
      </c>
      <c r="K32" s="44" t="s">
        <v>371</v>
      </c>
      <c r="L32" s="44" t="str">
        <f t="shared" si="2"/>
        <v>299000_Other Institute development costs</v>
      </c>
      <c r="M32" s="82" t="s">
        <v>308</v>
      </c>
      <c r="N32" s="83" t="s">
        <v>203</v>
      </c>
      <c r="O32" s="84" t="s">
        <v>203</v>
      </c>
      <c r="P32" s="84" t="s">
        <v>203</v>
      </c>
      <c r="Q32" s="84" t="s">
        <v>203</v>
      </c>
      <c r="R32" s="84" t="s">
        <v>203</v>
      </c>
      <c r="S32" s="84" t="s">
        <v>203</v>
      </c>
      <c r="T32" s="84" t="s">
        <v>203</v>
      </c>
      <c r="U32" s="84" t="s">
        <v>203</v>
      </c>
      <c r="V32" s="84" t="s">
        <v>203</v>
      </c>
      <c r="W32" s="84" t="s">
        <v>203</v>
      </c>
      <c r="X32" s="84" t="s">
        <v>203</v>
      </c>
      <c r="Y32" s="84" t="s">
        <v>203</v>
      </c>
      <c r="Z32" s="84" t="s">
        <v>203</v>
      </c>
      <c r="AA32" s="84" t="s">
        <v>203</v>
      </c>
      <c r="AB32" s="84" t="s">
        <v>203</v>
      </c>
      <c r="AC32" s="84" t="s">
        <v>203</v>
      </c>
      <c r="AD32" s="84" t="s">
        <v>203</v>
      </c>
      <c r="AE32" s="84" t="s">
        <v>203</v>
      </c>
      <c r="AF32" s="84" t="s">
        <v>203</v>
      </c>
      <c r="AG32" s="84" t="s">
        <v>203</v>
      </c>
      <c r="AH32" s="84" t="s">
        <v>203</v>
      </c>
      <c r="AI32" s="84" t="s">
        <v>203</v>
      </c>
      <c r="AJ32" s="84" t="s">
        <v>203</v>
      </c>
      <c r="AK32" s="84" t="s">
        <v>203</v>
      </c>
      <c r="AL32" s="84" t="s">
        <v>203</v>
      </c>
      <c r="AM32" s="84" t="s">
        <v>310</v>
      </c>
      <c r="AN32" s="84" t="s">
        <v>310</v>
      </c>
      <c r="AO32" s="84" t="s">
        <v>310</v>
      </c>
      <c r="AP32" s="84" t="s">
        <v>310</v>
      </c>
      <c r="AQ32" s="84" t="s">
        <v>310</v>
      </c>
      <c r="AR32" s="84" t="s">
        <v>310</v>
      </c>
      <c r="AS32" s="84" t="s">
        <v>203</v>
      </c>
      <c r="AT32" s="84" t="s">
        <v>310</v>
      </c>
      <c r="AU32" s="84" t="s">
        <v>310</v>
      </c>
      <c r="AV32" s="84" t="s">
        <v>310</v>
      </c>
      <c r="AW32" s="84" t="s">
        <v>310</v>
      </c>
      <c r="AX32" s="84" t="s">
        <v>310</v>
      </c>
      <c r="AY32" s="84" t="s">
        <v>310</v>
      </c>
      <c r="AZ32" s="84" t="s">
        <v>310</v>
      </c>
      <c r="BA32" s="84" t="s">
        <v>310</v>
      </c>
      <c r="BB32" s="84" t="s">
        <v>310</v>
      </c>
      <c r="BC32" s="84" t="s">
        <v>310</v>
      </c>
      <c r="BD32" s="84" t="s">
        <v>310</v>
      </c>
      <c r="BE32" s="84" t="s">
        <v>310</v>
      </c>
      <c r="BF32" s="84" t="s">
        <v>310</v>
      </c>
      <c r="BG32" s="84" t="s">
        <v>310</v>
      </c>
      <c r="BH32" s="84" t="s">
        <v>310</v>
      </c>
      <c r="BI32" s="84" t="s">
        <v>310</v>
      </c>
      <c r="BJ32" s="84" t="s">
        <v>310</v>
      </c>
    </row>
    <row r="33" spans="1:62" s="80" customFormat="1" x14ac:dyDescent="0.3">
      <c r="A33" s="45">
        <v>301001</v>
      </c>
      <c r="B33" s="46" t="s">
        <v>372</v>
      </c>
      <c r="C33" s="46" t="s">
        <v>373</v>
      </c>
      <c r="D33" s="46" t="str">
        <f t="shared" si="0"/>
        <v>301001_Software_exclusive</v>
      </c>
      <c r="E33" s="76">
        <v>300000</v>
      </c>
      <c r="F33" s="76" t="s">
        <v>215</v>
      </c>
      <c r="G33" s="76" t="s">
        <v>198</v>
      </c>
      <c r="H33" s="77" t="str">
        <f t="shared" si="1"/>
        <v>300000_Supplies and utilities</v>
      </c>
      <c r="I33" s="76">
        <v>301000</v>
      </c>
      <c r="J33" s="76" t="s">
        <v>374</v>
      </c>
      <c r="K33" s="76" t="s">
        <v>375</v>
      </c>
      <c r="L33" s="77" t="str">
        <f t="shared" si="2"/>
        <v>301000_Intangible assets - purchase</v>
      </c>
      <c r="M33" s="76" t="s">
        <v>308</v>
      </c>
      <c r="N33" s="78" t="s">
        <v>203</v>
      </c>
      <c r="O33" s="79" t="s">
        <v>203</v>
      </c>
      <c r="P33" s="79" t="s">
        <v>203</v>
      </c>
      <c r="Q33" s="79" t="s">
        <v>203</v>
      </c>
      <c r="R33" s="79" t="s">
        <v>203</v>
      </c>
      <c r="S33" s="79" t="s">
        <v>203</v>
      </c>
      <c r="T33" s="79" t="s">
        <v>203</v>
      </c>
      <c r="U33" s="79" t="s">
        <v>203</v>
      </c>
      <c r="V33" s="79" t="s">
        <v>203</v>
      </c>
      <c r="W33" s="79" t="s">
        <v>203</v>
      </c>
      <c r="X33" s="79" t="s">
        <v>203</v>
      </c>
      <c r="Y33" s="79" t="s">
        <v>203</v>
      </c>
      <c r="Z33" s="79" t="s">
        <v>203</v>
      </c>
      <c r="AA33" s="79" t="s">
        <v>203</v>
      </c>
      <c r="AB33" s="79" t="s">
        <v>203</v>
      </c>
      <c r="AC33" s="79" t="s">
        <v>203</v>
      </c>
      <c r="AD33" s="79" t="s">
        <v>203</v>
      </c>
      <c r="AE33" s="79" t="s">
        <v>203</v>
      </c>
      <c r="AF33" s="79" t="s">
        <v>203</v>
      </c>
      <c r="AG33" s="79" t="s">
        <v>203</v>
      </c>
      <c r="AH33" s="79" t="s">
        <v>203</v>
      </c>
      <c r="AI33" s="79" t="s">
        <v>203</v>
      </c>
      <c r="AJ33" s="79" t="s">
        <v>310</v>
      </c>
      <c r="AK33" s="79" t="s">
        <v>203</v>
      </c>
      <c r="AL33" s="79" t="s">
        <v>203</v>
      </c>
      <c r="AM33" s="79" t="s">
        <v>203</v>
      </c>
      <c r="AN33" s="79" t="s">
        <v>203</v>
      </c>
      <c r="AO33" s="79" t="s">
        <v>203</v>
      </c>
      <c r="AP33" s="79" t="s">
        <v>203</v>
      </c>
      <c r="AQ33" s="79" t="s">
        <v>203</v>
      </c>
      <c r="AR33" s="79" t="s">
        <v>203</v>
      </c>
      <c r="AS33" s="79" t="s">
        <v>203</v>
      </c>
      <c r="AT33" s="79" t="s">
        <v>310</v>
      </c>
      <c r="AU33" s="79" t="s">
        <v>310</v>
      </c>
      <c r="AV33" s="79" t="s">
        <v>310</v>
      </c>
      <c r="AW33" s="79" t="s">
        <v>310</v>
      </c>
      <c r="AX33" s="79" t="s">
        <v>310</v>
      </c>
      <c r="AY33" s="79" t="s">
        <v>310</v>
      </c>
      <c r="AZ33" s="79" t="s">
        <v>310</v>
      </c>
      <c r="BA33" s="79" t="s">
        <v>310</v>
      </c>
      <c r="BB33" s="79" t="s">
        <v>310</v>
      </c>
      <c r="BC33" s="79" t="s">
        <v>310</v>
      </c>
      <c r="BD33" s="79" t="s">
        <v>310</v>
      </c>
      <c r="BE33" s="79" t="s">
        <v>310</v>
      </c>
      <c r="BF33" s="79" t="s">
        <v>310</v>
      </c>
      <c r="BG33" s="79" t="s">
        <v>310</v>
      </c>
      <c r="BH33" s="79" t="s">
        <v>310</v>
      </c>
      <c r="BI33" s="79" t="s">
        <v>310</v>
      </c>
      <c r="BJ33" s="79" t="s">
        <v>310</v>
      </c>
    </row>
    <row r="34" spans="1:62" s="85" customFormat="1" x14ac:dyDescent="0.3">
      <c r="A34" s="43">
        <v>301002</v>
      </c>
      <c r="B34" s="44" t="s">
        <v>376</v>
      </c>
      <c r="C34" s="44" t="s">
        <v>377</v>
      </c>
      <c r="D34" s="44" t="str">
        <f t="shared" si="0"/>
        <v>301002_Software_non-exclusive</v>
      </c>
      <c r="E34" s="81">
        <v>300000</v>
      </c>
      <c r="F34" s="81" t="s">
        <v>215</v>
      </c>
      <c r="G34" s="44" t="s">
        <v>198</v>
      </c>
      <c r="H34" s="44" t="str">
        <f t="shared" si="1"/>
        <v>300000_Supplies and utilities</v>
      </c>
      <c r="I34" s="81">
        <v>301000</v>
      </c>
      <c r="J34" s="81" t="s">
        <v>374</v>
      </c>
      <c r="K34" s="44" t="s">
        <v>375</v>
      </c>
      <c r="L34" s="44" t="str">
        <f t="shared" si="2"/>
        <v>301000_Intangible assets - purchase</v>
      </c>
      <c r="M34" s="82" t="s">
        <v>308</v>
      </c>
      <c r="N34" s="83" t="s">
        <v>378</v>
      </c>
      <c r="O34" s="84" t="s">
        <v>203</v>
      </c>
      <c r="P34" s="84" t="s">
        <v>203</v>
      </c>
      <c r="Q34" s="84" t="s">
        <v>203</v>
      </c>
      <c r="R34" s="84" t="s">
        <v>203</v>
      </c>
      <c r="S34" s="84" t="s">
        <v>203</v>
      </c>
      <c r="T34" s="84" t="s">
        <v>203</v>
      </c>
      <c r="U34" s="84" t="s">
        <v>203</v>
      </c>
      <c r="V34" s="84" t="s">
        <v>203</v>
      </c>
      <c r="W34" s="84" t="s">
        <v>203</v>
      </c>
      <c r="X34" s="84" t="s">
        <v>203</v>
      </c>
      <c r="Y34" s="84" t="s">
        <v>203</v>
      </c>
      <c r="Z34" s="84" t="s">
        <v>203</v>
      </c>
      <c r="AA34" s="84" t="s">
        <v>203</v>
      </c>
      <c r="AB34" s="84" t="s">
        <v>203</v>
      </c>
      <c r="AC34" s="84" t="s">
        <v>203</v>
      </c>
      <c r="AD34" s="84" t="s">
        <v>203</v>
      </c>
      <c r="AE34" s="84" t="s">
        <v>203</v>
      </c>
      <c r="AF34" s="84" t="s">
        <v>310</v>
      </c>
      <c r="AG34" s="84" t="s">
        <v>203</v>
      </c>
      <c r="AH34" s="84" t="s">
        <v>203</v>
      </c>
      <c r="AI34" s="84" t="s">
        <v>203</v>
      </c>
      <c r="AJ34" s="84" t="s">
        <v>310</v>
      </c>
      <c r="AK34" s="84" t="s">
        <v>203</v>
      </c>
      <c r="AL34" s="84" t="s">
        <v>203</v>
      </c>
      <c r="AM34" s="84" t="s">
        <v>203</v>
      </c>
      <c r="AN34" s="84" t="s">
        <v>203</v>
      </c>
      <c r="AO34" s="84" t="s">
        <v>310</v>
      </c>
      <c r="AP34" s="84" t="s">
        <v>310</v>
      </c>
      <c r="AQ34" s="84" t="s">
        <v>310</v>
      </c>
      <c r="AR34" s="84" t="s">
        <v>310</v>
      </c>
      <c r="AS34" s="84" t="s">
        <v>203</v>
      </c>
      <c r="AT34" s="84" t="s">
        <v>310</v>
      </c>
      <c r="AU34" s="84" t="s">
        <v>310</v>
      </c>
      <c r="AV34" s="84" t="s">
        <v>310</v>
      </c>
      <c r="AW34" s="84" t="s">
        <v>310</v>
      </c>
      <c r="AX34" s="84" t="s">
        <v>310</v>
      </c>
      <c r="AY34" s="84" t="s">
        <v>310</v>
      </c>
      <c r="AZ34" s="84" t="s">
        <v>310</v>
      </c>
      <c r="BA34" s="84" t="s">
        <v>310</v>
      </c>
      <c r="BB34" s="84" t="s">
        <v>310</v>
      </c>
      <c r="BC34" s="84" t="s">
        <v>310</v>
      </c>
      <c r="BD34" s="84" t="s">
        <v>310</v>
      </c>
      <c r="BE34" s="84" t="s">
        <v>310</v>
      </c>
      <c r="BF34" s="84" t="s">
        <v>310</v>
      </c>
      <c r="BG34" s="84" t="s">
        <v>310</v>
      </c>
      <c r="BH34" s="84" t="s">
        <v>310</v>
      </c>
      <c r="BI34" s="84" t="s">
        <v>310</v>
      </c>
      <c r="BJ34" s="84" t="s">
        <v>310</v>
      </c>
    </row>
    <row r="35" spans="1:62" s="80" customFormat="1" x14ac:dyDescent="0.3">
      <c r="A35" s="45">
        <v>301999</v>
      </c>
      <c r="B35" s="46" t="s">
        <v>379</v>
      </c>
      <c r="C35" s="46" t="s">
        <v>380</v>
      </c>
      <c r="D35" s="46" t="str">
        <f t="shared" ref="D35:D66" si="3">A35&amp;$D$1&amp;C35</f>
        <v>301999_Other intangible assets</v>
      </c>
      <c r="E35" s="76">
        <v>300000</v>
      </c>
      <c r="F35" s="76" t="s">
        <v>215</v>
      </c>
      <c r="G35" s="76" t="s">
        <v>198</v>
      </c>
      <c r="H35" s="77" t="str">
        <f t="shared" si="1"/>
        <v>300000_Supplies and utilities</v>
      </c>
      <c r="I35" s="76">
        <v>301000</v>
      </c>
      <c r="J35" s="76" t="s">
        <v>374</v>
      </c>
      <c r="K35" s="76" t="s">
        <v>375</v>
      </c>
      <c r="L35" s="77" t="str">
        <f t="shared" si="2"/>
        <v>301000_Intangible assets - purchase</v>
      </c>
      <c r="M35" s="76" t="s">
        <v>308</v>
      </c>
      <c r="N35" s="78" t="s">
        <v>203</v>
      </c>
      <c r="O35" s="79" t="s">
        <v>203</v>
      </c>
      <c r="P35" s="79" t="s">
        <v>203</v>
      </c>
      <c r="Q35" s="79" t="s">
        <v>203</v>
      </c>
      <c r="R35" s="79" t="s">
        <v>203</v>
      </c>
      <c r="S35" s="79" t="s">
        <v>203</v>
      </c>
      <c r="T35" s="79" t="s">
        <v>203</v>
      </c>
      <c r="U35" s="79" t="s">
        <v>203</v>
      </c>
      <c r="V35" s="79" t="s">
        <v>203</v>
      </c>
      <c r="W35" s="79" t="s">
        <v>203</v>
      </c>
      <c r="X35" s="79" t="s">
        <v>203</v>
      </c>
      <c r="Y35" s="79" t="s">
        <v>203</v>
      </c>
      <c r="Z35" s="79" t="s">
        <v>203</v>
      </c>
      <c r="AA35" s="79" t="s">
        <v>203</v>
      </c>
      <c r="AB35" s="79" t="s">
        <v>203</v>
      </c>
      <c r="AC35" s="79" t="s">
        <v>203</v>
      </c>
      <c r="AD35" s="79" t="s">
        <v>203</v>
      </c>
      <c r="AE35" s="79" t="s">
        <v>203</v>
      </c>
      <c r="AF35" s="79" t="s">
        <v>203</v>
      </c>
      <c r="AG35" s="79" t="s">
        <v>203</v>
      </c>
      <c r="AH35" s="79" t="s">
        <v>203</v>
      </c>
      <c r="AI35" s="79" t="s">
        <v>203</v>
      </c>
      <c r="AJ35" s="79" t="s">
        <v>310</v>
      </c>
      <c r="AK35" s="79" t="s">
        <v>203</v>
      </c>
      <c r="AL35" s="79" t="s">
        <v>203</v>
      </c>
      <c r="AM35" s="79" t="s">
        <v>203</v>
      </c>
      <c r="AN35" s="79" t="s">
        <v>203</v>
      </c>
      <c r="AO35" s="79" t="s">
        <v>310</v>
      </c>
      <c r="AP35" s="79" t="s">
        <v>310</v>
      </c>
      <c r="AQ35" s="79" t="s">
        <v>310</v>
      </c>
      <c r="AR35" s="79" t="s">
        <v>310</v>
      </c>
      <c r="AS35" s="79" t="s">
        <v>203</v>
      </c>
      <c r="AT35" s="79" t="s">
        <v>310</v>
      </c>
      <c r="AU35" s="79" t="s">
        <v>310</v>
      </c>
      <c r="AV35" s="79" t="s">
        <v>310</v>
      </c>
      <c r="AW35" s="79" t="s">
        <v>310</v>
      </c>
      <c r="AX35" s="79" t="s">
        <v>310</v>
      </c>
      <c r="AY35" s="79" t="s">
        <v>310</v>
      </c>
      <c r="AZ35" s="79" t="s">
        <v>310</v>
      </c>
      <c r="BA35" s="79" t="s">
        <v>310</v>
      </c>
      <c r="BB35" s="79" t="s">
        <v>310</v>
      </c>
      <c r="BC35" s="79" t="s">
        <v>310</v>
      </c>
      <c r="BD35" s="79" t="s">
        <v>310</v>
      </c>
      <c r="BE35" s="79" t="s">
        <v>310</v>
      </c>
      <c r="BF35" s="79" t="s">
        <v>310</v>
      </c>
      <c r="BG35" s="79" t="s">
        <v>310</v>
      </c>
      <c r="BH35" s="79" t="s">
        <v>310</v>
      </c>
      <c r="BI35" s="79" t="s">
        <v>310</v>
      </c>
      <c r="BJ35" s="79" t="s">
        <v>310</v>
      </c>
    </row>
    <row r="36" spans="1:62" s="85" customFormat="1" x14ac:dyDescent="0.3">
      <c r="A36" s="43">
        <v>302001</v>
      </c>
      <c r="B36" s="44" t="s">
        <v>217</v>
      </c>
      <c r="C36" s="44" t="s">
        <v>381</v>
      </c>
      <c r="D36" s="44" t="str">
        <f t="shared" si="3"/>
        <v>302001_Equipment for laboratories (&gt;40 000 RUR)</v>
      </c>
      <c r="E36" s="81">
        <v>300000</v>
      </c>
      <c r="F36" s="81" t="s">
        <v>215</v>
      </c>
      <c r="G36" s="44" t="s">
        <v>198</v>
      </c>
      <c r="H36" s="44" t="str">
        <f t="shared" si="1"/>
        <v>300000_Supplies and utilities</v>
      </c>
      <c r="I36" s="81">
        <v>302000</v>
      </c>
      <c r="J36" s="81" t="s">
        <v>216</v>
      </c>
      <c r="K36" s="44" t="s">
        <v>382</v>
      </c>
      <c r="L36" s="44" t="str">
        <f t="shared" si="2"/>
        <v>302000_Equipment purchase</v>
      </c>
      <c r="M36" s="82" t="s">
        <v>308</v>
      </c>
      <c r="N36" s="83" t="s">
        <v>203</v>
      </c>
      <c r="O36" s="84" t="s">
        <v>203</v>
      </c>
      <c r="P36" s="84" t="s">
        <v>203</v>
      </c>
      <c r="Q36" s="84" t="s">
        <v>203</v>
      </c>
      <c r="R36" s="84" t="s">
        <v>203</v>
      </c>
      <c r="S36" s="84" t="s">
        <v>203</v>
      </c>
      <c r="T36" s="84" t="s">
        <v>203</v>
      </c>
      <c r="U36" s="84" t="s">
        <v>203</v>
      </c>
      <c r="V36" s="84" t="s">
        <v>203</v>
      </c>
      <c r="W36" s="84" t="s">
        <v>203</v>
      </c>
      <c r="X36" s="84" t="s">
        <v>203</v>
      </c>
      <c r="Y36" s="84" t="s">
        <v>203</v>
      </c>
      <c r="Z36" s="84" t="s">
        <v>203</v>
      </c>
      <c r="AA36" s="84" t="s">
        <v>203</v>
      </c>
      <c r="AB36" s="84" t="s">
        <v>203</v>
      </c>
      <c r="AC36" s="84" t="s">
        <v>203</v>
      </c>
      <c r="AD36" s="84" t="s">
        <v>310</v>
      </c>
      <c r="AE36" s="84" t="s">
        <v>310</v>
      </c>
      <c r="AF36" s="84" t="s">
        <v>310</v>
      </c>
      <c r="AG36" s="84" t="s">
        <v>310</v>
      </c>
      <c r="AH36" s="84" t="s">
        <v>310</v>
      </c>
      <c r="AI36" s="84" t="s">
        <v>203</v>
      </c>
      <c r="AJ36" s="84" t="s">
        <v>203</v>
      </c>
      <c r="AK36" s="84" t="s">
        <v>203</v>
      </c>
      <c r="AL36" s="84" t="s">
        <v>203</v>
      </c>
      <c r="AM36" s="84" t="s">
        <v>203</v>
      </c>
      <c r="AN36" s="84" t="s">
        <v>203</v>
      </c>
      <c r="AO36" s="84" t="s">
        <v>203</v>
      </c>
      <c r="AP36" s="84" t="s">
        <v>203</v>
      </c>
      <c r="AQ36" s="84" t="s">
        <v>203</v>
      </c>
      <c r="AR36" s="84" t="s">
        <v>203</v>
      </c>
      <c r="AS36" s="84" t="s">
        <v>203</v>
      </c>
      <c r="AT36" s="84" t="s">
        <v>310</v>
      </c>
      <c r="AU36" s="84" t="s">
        <v>310</v>
      </c>
      <c r="AV36" s="84" t="s">
        <v>310</v>
      </c>
      <c r="AW36" s="84" t="s">
        <v>310</v>
      </c>
      <c r="AX36" s="84" t="s">
        <v>310</v>
      </c>
      <c r="AY36" s="84" t="s">
        <v>310</v>
      </c>
      <c r="AZ36" s="84" t="s">
        <v>310</v>
      </c>
      <c r="BA36" s="84" t="s">
        <v>310</v>
      </c>
      <c r="BB36" s="84" t="s">
        <v>310</v>
      </c>
      <c r="BC36" s="84" t="s">
        <v>310</v>
      </c>
      <c r="BD36" s="84" t="s">
        <v>310</v>
      </c>
      <c r="BE36" s="84" t="s">
        <v>310</v>
      </c>
      <c r="BF36" s="84" t="s">
        <v>310</v>
      </c>
      <c r="BG36" s="84" t="s">
        <v>310</v>
      </c>
      <c r="BH36" s="84" t="s">
        <v>310</v>
      </c>
      <c r="BI36" s="84" t="s">
        <v>310</v>
      </c>
      <c r="BJ36" s="84" t="s">
        <v>310</v>
      </c>
    </row>
    <row r="37" spans="1:62" s="80" customFormat="1" x14ac:dyDescent="0.3">
      <c r="A37" s="45">
        <v>302002</v>
      </c>
      <c r="B37" s="46" t="s">
        <v>383</v>
      </c>
      <c r="C37" s="46" t="s">
        <v>384</v>
      </c>
      <c r="D37" s="46" t="str">
        <f t="shared" si="3"/>
        <v>302002_Equipment for laboratories (&lt;40 000 RUR)</v>
      </c>
      <c r="E37" s="76">
        <v>300000</v>
      </c>
      <c r="F37" s="76" t="s">
        <v>215</v>
      </c>
      <c r="G37" s="76" t="s">
        <v>198</v>
      </c>
      <c r="H37" s="77" t="str">
        <f t="shared" si="1"/>
        <v>300000_Supplies and utilities</v>
      </c>
      <c r="I37" s="76">
        <v>302000</v>
      </c>
      <c r="J37" s="76" t="s">
        <v>216</v>
      </c>
      <c r="K37" s="76" t="s">
        <v>382</v>
      </c>
      <c r="L37" s="77" t="str">
        <f t="shared" si="2"/>
        <v>302000_Equipment purchase</v>
      </c>
      <c r="M37" s="76" t="s">
        <v>308</v>
      </c>
      <c r="N37" s="78" t="s">
        <v>203</v>
      </c>
      <c r="O37" s="79" t="s">
        <v>203</v>
      </c>
      <c r="P37" s="79" t="s">
        <v>203</v>
      </c>
      <c r="Q37" s="79" t="s">
        <v>203</v>
      </c>
      <c r="R37" s="79" t="s">
        <v>203</v>
      </c>
      <c r="S37" s="79" t="s">
        <v>203</v>
      </c>
      <c r="T37" s="79" t="s">
        <v>203</v>
      </c>
      <c r="U37" s="79" t="s">
        <v>203</v>
      </c>
      <c r="V37" s="79" t="s">
        <v>203</v>
      </c>
      <c r="W37" s="79" t="s">
        <v>203</v>
      </c>
      <c r="X37" s="79" t="s">
        <v>203</v>
      </c>
      <c r="Y37" s="79" t="s">
        <v>203</v>
      </c>
      <c r="Z37" s="79" t="s">
        <v>203</v>
      </c>
      <c r="AA37" s="79" t="s">
        <v>203</v>
      </c>
      <c r="AB37" s="79" t="s">
        <v>203</v>
      </c>
      <c r="AC37" s="79" t="s">
        <v>203</v>
      </c>
      <c r="AD37" s="79" t="s">
        <v>310</v>
      </c>
      <c r="AE37" s="79" t="s">
        <v>310</v>
      </c>
      <c r="AF37" s="79" t="s">
        <v>310</v>
      </c>
      <c r="AG37" s="79" t="s">
        <v>310</v>
      </c>
      <c r="AH37" s="79" t="s">
        <v>310</v>
      </c>
      <c r="AI37" s="79" t="s">
        <v>203</v>
      </c>
      <c r="AJ37" s="79" t="s">
        <v>203</v>
      </c>
      <c r="AK37" s="79" t="s">
        <v>203</v>
      </c>
      <c r="AL37" s="79" t="s">
        <v>203</v>
      </c>
      <c r="AM37" s="79" t="s">
        <v>203</v>
      </c>
      <c r="AN37" s="79" t="s">
        <v>203</v>
      </c>
      <c r="AO37" s="79" t="s">
        <v>203</v>
      </c>
      <c r="AP37" s="79" t="s">
        <v>203</v>
      </c>
      <c r="AQ37" s="79" t="s">
        <v>203</v>
      </c>
      <c r="AR37" s="79" t="s">
        <v>203</v>
      </c>
      <c r="AS37" s="79" t="s">
        <v>203</v>
      </c>
      <c r="AT37" s="79" t="s">
        <v>310</v>
      </c>
      <c r="AU37" s="79" t="s">
        <v>310</v>
      </c>
      <c r="AV37" s="79" t="s">
        <v>310</v>
      </c>
      <c r="AW37" s="79" t="s">
        <v>310</v>
      </c>
      <c r="AX37" s="79" t="s">
        <v>310</v>
      </c>
      <c r="AY37" s="79" t="s">
        <v>310</v>
      </c>
      <c r="AZ37" s="79" t="s">
        <v>310</v>
      </c>
      <c r="BA37" s="79" t="s">
        <v>310</v>
      </c>
      <c r="BB37" s="79" t="s">
        <v>310</v>
      </c>
      <c r="BC37" s="79" t="s">
        <v>310</v>
      </c>
      <c r="BD37" s="79" t="s">
        <v>310</v>
      </c>
      <c r="BE37" s="79" t="s">
        <v>310</v>
      </c>
      <c r="BF37" s="79" t="s">
        <v>310</v>
      </c>
      <c r="BG37" s="79" t="s">
        <v>310</v>
      </c>
      <c r="BH37" s="79" t="s">
        <v>310</v>
      </c>
      <c r="BI37" s="79" t="s">
        <v>310</v>
      </c>
      <c r="BJ37" s="79" t="s">
        <v>310</v>
      </c>
    </row>
    <row r="38" spans="1:62" s="85" customFormat="1" x14ac:dyDescent="0.3">
      <c r="A38" s="43">
        <v>302003</v>
      </c>
      <c r="B38" s="44" t="s">
        <v>385</v>
      </c>
      <c r="C38" s="44" t="s">
        <v>386</v>
      </c>
      <c r="D38" s="44" t="str">
        <f t="shared" si="3"/>
        <v>302003_Equipment for office (&gt;40 000 RUR)</v>
      </c>
      <c r="E38" s="81">
        <v>300000</v>
      </c>
      <c r="F38" s="81" t="s">
        <v>215</v>
      </c>
      <c r="G38" s="44" t="s">
        <v>198</v>
      </c>
      <c r="H38" s="44" t="str">
        <f t="shared" si="1"/>
        <v>300000_Supplies and utilities</v>
      </c>
      <c r="I38" s="81">
        <v>302000</v>
      </c>
      <c r="J38" s="81" t="s">
        <v>216</v>
      </c>
      <c r="K38" s="44" t="s">
        <v>382</v>
      </c>
      <c r="L38" s="44" t="str">
        <f t="shared" si="2"/>
        <v>302000_Equipment purchase</v>
      </c>
      <c r="M38" s="82" t="s">
        <v>308</v>
      </c>
      <c r="N38" s="83" t="s">
        <v>203</v>
      </c>
      <c r="O38" s="84" t="s">
        <v>203</v>
      </c>
      <c r="P38" s="84" t="s">
        <v>203</v>
      </c>
      <c r="Q38" s="84" t="s">
        <v>203</v>
      </c>
      <c r="R38" s="84" t="s">
        <v>203</v>
      </c>
      <c r="S38" s="84" t="s">
        <v>203</v>
      </c>
      <c r="T38" s="84" t="s">
        <v>203</v>
      </c>
      <c r="U38" s="84" t="s">
        <v>203</v>
      </c>
      <c r="V38" s="84" t="s">
        <v>203</v>
      </c>
      <c r="W38" s="84" t="s">
        <v>203</v>
      </c>
      <c r="X38" s="84" t="s">
        <v>203</v>
      </c>
      <c r="Y38" s="84" t="s">
        <v>203</v>
      </c>
      <c r="Z38" s="84" t="s">
        <v>203</v>
      </c>
      <c r="AA38" s="84" t="s">
        <v>203</v>
      </c>
      <c r="AB38" s="84" t="s">
        <v>203</v>
      </c>
      <c r="AC38" s="84" t="s">
        <v>203</v>
      </c>
      <c r="AD38" s="84" t="s">
        <v>310</v>
      </c>
      <c r="AE38" s="84" t="s">
        <v>310</v>
      </c>
      <c r="AF38" s="84" t="s">
        <v>310</v>
      </c>
      <c r="AG38" s="84" t="s">
        <v>310</v>
      </c>
      <c r="AH38" s="84" t="s">
        <v>310</v>
      </c>
      <c r="AI38" s="84" t="s">
        <v>203</v>
      </c>
      <c r="AJ38" s="84" t="s">
        <v>310</v>
      </c>
      <c r="AK38" s="84" t="s">
        <v>203</v>
      </c>
      <c r="AL38" s="84" t="s">
        <v>203</v>
      </c>
      <c r="AM38" s="84" t="s">
        <v>310</v>
      </c>
      <c r="AN38" s="84" t="s">
        <v>310</v>
      </c>
      <c r="AO38" s="84" t="s">
        <v>310</v>
      </c>
      <c r="AP38" s="84" t="s">
        <v>310</v>
      </c>
      <c r="AQ38" s="84" t="s">
        <v>310</v>
      </c>
      <c r="AR38" s="84" t="s">
        <v>310</v>
      </c>
      <c r="AS38" s="84" t="s">
        <v>203</v>
      </c>
      <c r="AT38" s="84" t="s">
        <v>310</v>
      </c>
      <c r="AU38" s="84" t="s">
        <v>310</v>
      </c>
      <c r="AV38" s="84" t="s">
        <v>310</v>
      </c>
      <c r="AW38" s="84" t="s">
        <v>310</v>
      </c>
      <c r="AX38" s="84" t="s">
        <v>310</v>
      </c>
      <c r="AY38" s="84" t="s">
        <v>310</v>
      </c>
      <c r="AZ38" s="84" t="s">
        <v>310</v>
      </c>
      <c r="BA38" s="84" t="s">
        <v>310</v>
      </c>
      <c r="BB38" s="84" t="s">
        <v>310</v>
      </c>
      <c r="BC38" s="84" t="s">
        <v>310</v>
      </c>
      <c r="BD38" s="84" t="s">
        <v>310</v>
      </c>
      <c r="BE38" s="84" t="s">
        <v>310</v>
      </c>
      <c r="BF38" s="84" t="s">
        <v>310</v>
      </c>
      <c r="BG38" s="84" t="s">
        <v>310</v>
      </c>
      <c r="BH38" s="84" t="s">
        <v>310</v>
      </c>
      <c r="BI38" s="84" t="s">
        <v>310</v>
      </c>
      <c r="BJ38" s="84" t="s">
        <v>310</v>
      </c>
    </row>
    <row r="39" spans="1:62" s="80" customFormat="1" x14ac:dyDescent="0.3">
      <c r="A39" s="45">
        <v>302004</v>
      </c>
      <c r="B39" s="46" t="s">
        <v>387</v>
      </c>
      <c r="C39" s="46" t="s">
        <v>388</v>
      </c>
      <c r="D39" s="46" t="str">
        <f t="shared" si="3"/>
        <v>302004_Equipment for office (&lt;40 000 RUR)</v>
      </c>
      <c r="E39" s="76">
        <v>300000</v>
      </c>
      <c r="F39" s="76" t="s">
        <v>215</v>
      </c>
      <c r="G39" s="76" t="s">
        <v>198</v>
      </c>
      <c r="H39" s="77" t="str">
        <f t="shared" si="1"/>
        <v>300000_Supplies and utilities</v>
      </c>
      <c r="I39" s="76">
        <v>302000</v>
      </c>
      <c r="J39" s="76" t="s">
        <v>216</v>
      </c>
      <c r="K39" s="76" t="s">
        <v>382</v>
      </c>
      <c r="L39" s="77" t="str">
        <f t="shared" si="2"/>
        <v>302000_Equipment purchase</v>
      </c>
      <c r="M39" s="76" t="s">
        <v>308</v>
      </c>
      <c r="N39" s="78" t="s">
        <v>203</v>
      </c>
      <c r="O39" s="79" t="s">
        <v>203</v>
      </c>
      <c r="P39" s="79" t="s">
        <v>203</v>
      </c>
      <c r="Q39" s="79" t="s">
        <v>203</v>
      </c>
      <c r="R39" s="79" t="s">
        <v>203</v>
      </c>
      <c r="S39" s="79" t="s">
        <v>203</v>
      </c>
      <c r="T39" s="79" t="s">
        <v>203</v>
      </c>
      <c r="U39" s="79" t="s">
        <v>203</v>
      </c>
      <c r="V39" s="79" t="s">
        <v>203</v>
      </c>
      <c r="W39" s="79" t="s">
        <v>203</v>
      </c>
      <c r="X39" s="79" t="s">
        <v>203</v>
      </c>
      <c r="Y39" s="79" t="s">
        <v>203</v>
      </c>
      <c r="Z39" s="79" t="s">
        <v>203</v>
      </c>
      <c r="AA39" s="79" t="s">
        <v>203</v>
      </c>
      <c r="AB39" s="79" t="s">
        <v>203</v>
      </c>
      <c r="AC39" s="79" t="s">
        <v>203</v>
      </c>
      <c r="AD39" s="79" t="s">
        <v>310</v>
      </c>
      <c r="AE39" s="79" t="s">
        <v>310</v>
      </c>
      <c r="AF39" s="79" t="s">
        <v>310</v>
      </c>
      <c r="AG39" s="79" t="s">
        <v>310</v>
      </c>
      <c r="AH39" s="79" t="s">
        <v>310</v>
      </c>
      <c r="AI39" s="79" t="s">
        <v>203</v>
      </c>
      <c r="AJ39" s="79" t="s">
        <v>310</v>
      </c>
      <c r="AK39" s="79" t="s">
        <v>203</v>
      </c>
      <c r="AL39" s="79" t="s">
        <v>203</v>
      </c>
      <c r="AM39" s="79" t="s">
        <v>310</v>
      </c>
      <c r="AN39" s="79" t="s">
        <v>310</v>
      </c>
      <c r="AO39" s="79" t="s">
        <v>310</v>
      </c>
      <c r="AP39" s="79" t="s">
        <v>310</v>
      </c>
      <c r="AQ39" s="79" t="s">
        <v>310</v>
      </c>
      <c r="AR39" s="79" t="s">
        <v>310</v>
      </c>
      <c r="AS39" s="79" t="s">
        <v>203</v>
      </c>
      <c r="AT39" s="79" t="s">
        <v>310</v>
      </c>
      <c r="AU39" s="79" t="s">
        <v>310</v>
      </c>
      <c r="AV39" s="79" t="s">
        <v>310</v>
      </c>
      <c r="AW39" s="79" t="s">
        <v>310</v>
      </c>
      <c r="AX39" s="79" t="s">
        <v>310</v>
      </c>
      <c r="AY39" s="79" t="s">
        <v>310</v>
      </c>
      <c r="AZ39" s="79" t="s">
        <v>310</v>
      </c>
      <c r="BA39" s="79" t="s">
        <v>310</v>
      </c>
      <c r="BB39" s="79" t="s">
        <v>310</v>
      </c>
      <c r="BC39" s="79" t="s">
        <v>310</v>
      </c>
      <c r="BD39" s="79" t="s">
        <v>310</v>
      </c>
      <c r="BE39" s="79" t="s">
        <v>310</v>
      </c>
      <c r="BF39" s="79" t="s">
        <v>310</v>
      </c>
      <c r="BG39" s="79" t="s">
        <v>310</v>
      </c>
      <c r="BH39" s="79" t="s">
        <v>310</v>
      </c>
      <c r="BI39" s="79" t="s">
        <v>310</v>
      </c>
      <c r="BJ39" s="79" t="s">
        <v>310</v>
      </c>
    </row>
    <row r="40" spans="1:62" s="85" customFormat="1" x14ac:dyDescent="0.3">
      <c r="A40" s="43">
        <v>302005</v>
      </c>
      <c r="B40" s="44" t="s">
        <v>389</v>
      </c>
      <c r="C40" s="44" t="s">
        <v>390</v>
      </c>
      <c r="D40" s="44" t="str">
        <f t="shared" si="3"/>
        <v>302005_Equipment -  telecommunications</v>
      </c>
      <c r="E40" s="81">
        <v>300000</v>
      </c>
      <c r="F40" s="81" t="s">
        <v>215</v>
      </c>
      <c r="G40" s="44" t="s">
        <v>198</v>
      </c>
      <c r="H40" s="44" t="str">
        <f t="shared" si="1"/>
        <v>300000_Supplies and utilities</v>
      </c>
      <c r="I40" s="81">
        <v>302000</v>
      </c>
      <c r="J40" s="81" t="s">
        <v>216</v>
      </c>
      <c r="K40" s="44" t="s">
        <v>382</v>
      </c>
      <c r="L40" s="44" t="str">
        <f t="shared" si="2"/>
        <v>302000_Equipment purchase</v>
      </c>
      <c r="M40" s="82" t="s">
        <v>308</v>
      </c>
      <c r="N40" s="83" t="s">
        <v>391</v>
      </c>
      <c r="O40" s="84" t="s">
        <v>203</v>
      </c>
      <c r="P40" s="84" t="s">
        <v>203</v>
      </c>
      <c r="Q40" s="84" t="s">
        <v>203</v>
      </c>
      <c r="R40" s="84" t="s">
        <v>203</v>
      </c>
      <c r="S40" s="84" t="s">
        <v>203</v>
      </c>
      <c r="T40" s="84" t="s">
        <v>203</v>
      </c>
      <c r="U40" s="84" t="s">
        <v>203</v>
      </c>
      <c r="V40" s="84" t="s">
        <v>203</v>
      </c>
      <c r="W40" s="84" t="s">
        <v>203</v>
      </c>
      <c r="X40" s="84" t="s">
        <v>203</v>
      </c>
      <c r="Y40" s="84" t="s">
        <v>203</v>
      </c>
      <c r="Z40" s="84" t="s">
        <v>203</v>
      </c>
      <c r="AA40" s="84" t="s">
        <v>203</v>
      </c>
      <c r="AB40" s="84" t="s">
        <v>203</v>
      </c>
      <c r="AC40" s="84" t="s">
        <v>203</v>
      </c>
      <c r="AD40" s="84" t="s">
        <v>310</v>
      </c>
      <c r="AE40" s="84" t="s">
        <v>310</v>
      </c>
      <c r="AF40" s="84" t="s">
        <v>310</v>
      </c>
      <c r="AG40" s="84" t="s">
        <v>310</v>
      </c>
      <c r="AH40" s="84" t="s">
        <v>310</v>
      </c>
      <c r="AI40" s="84" t="s">
        <v>203</v>
      </c>
      <c r="AJ40" s="84" t="s">
        <v>310</v>
      </c>
      <c r="AK40" s="84" t="s">
        <v>203</v>
      </c>
      <c r="AL40" s="84" t="s">
        <v>203</v>
      </c>
      <c r="AM40" s="84" t="s">
        <v>310</v>
      </c>
      <c r="AN40" s="84" t="s">
        <v>310</v>
      </c>
      <c r="AO40" s="84" t="s">
        <v>310</v>
      </c>
      <c r="AP40" s="84" t="s">
        <v>310</v>
      </c>
      <c r="AQ40" s="84" t="s">
        <v>310</v>
      </c>
      <c r="AR40" s="84" t="s">
        <v>310</v>
      </c>
      <c r="AS40" s="84" t="s">
        <v>203</v>
      </c>
      <c r="AT40" s="84" t="s">
        <v>310</v>
      </c>
      <c r="AU40" s="84" t="s">
        <v>310</v>
      </c>
      <c r="AV40" s="84" t="s">
        <v>310</v>
      </c>
      <c r="AW40" s="84" t="s">
        <v>310</v>
      </c>
      <c r="AX40" s="84" t="s">
        <v>310</v>
      </c>
      <c r="AY40" s="84" t="s">
        <v>310</v>
      </c>
      <c r="AZ40" s="84" t="s">
        <v>310</v>
      </c>
      <c r="BA40" s="84" t="s">
        <v>310</v>
      </c>
      <c r="BB40" s="84" t="s">
        <v>310</v>
      </c>
      <c r="BC40" s="84" t="s">
        <v>310</v>
      </c>
      <c r="BD40" s="84" t="s">
        <v>310</v>
      </c>
      <c r="BE40" s="84" t="s">
        <v>310</v>
      </c>
      <c r="BF40" s="84" t="s">
        <v>310</v>
      </c>
      <c r="BG40" s="84" t="s">
        <v>310</v>
      </c>
      <c r="BH40" s="84" t="s">
        <v>310</v>
      </c>
      <c r="BI40" s="84" t="s">
        <v>310</v>
      </c>
      <c r="BJ40" s="84" t="s">
        <v>310</v>
      </c>
    </row>
    <row r="41" spans="1:62" s="80" customFormat="1" x14ac:dyDescent="0.3">
      <c r="A41" s="45">
        <v>302006</v>
      </c>
      <c r="B41" s="46" t="s">
        <v>392</v>
      </c>
      <c r="C41" s="46" t="s">
        <v>393</v>
      </c>
      <c r="D41" s="46" t="str">
        <f t="shared" si="3"/>
        <v>302006_Equipment - networks</v>
      </c>
      <c r="E41" s="76">
        <v>300000</v>
      </c>
      <c r="F41" s="76" t="s">
        <v>215</v>
      </c>
      <c r="G41" s="76" t="s">
        <v>198</v>
      </c>
      <c r="H41" s="77" t="str">
        <f t="shared" si="1"/>
        <v>300000_Supplies and utilities</v>
      </c>
      <c r="I41" s="76">
        <v>302000</v>
      </c>
      <c r="J41" s="76" t="s">
        <v>216</v>
      </c>
      <c r="K41" s="76" t="s">
        <v>382</v>
      </c>
      <c r="L41" s="77" t="str">
        <f t="shared" si="2"/>
        <v>302000_Equipment purchase</v>
      </c>
      <c r="M41" s="76" t="s">
        <v>308</v>
      </c>
      <c r="N41" s="78" t="s">
        <v>203</v>
      </c>
      <c r="O41" s="79" t="s">
        <v>203</v>
      </c>
      <c r="P41" s="79" t="s">
        <v>203</v>
      </c>
      <c r="Q41" s="79" t="s">
        <v>203</v>
      </c>
      <c r="R41" s="79" t="s">
        <v>203</v>
      </c>
      <c r="S41" s="79" t="s">
        <v>203</v>
      </c>
      <c r="T41" s="79" t="s">
        <v>203</v>
      </c>
      <c r="U41" s="79" t="s">
        <v>203</v>
      </c>
      <c r="V41" s="79" t="s">
        <v>203</v>
      </c>
      <c r="W41" s="79" t="s">
        <v>203</v>
      </c>
      <c r="X41" s="79" t="s">
        <v>203</v>
      </c>
      <c r="Y41" s="79" t="s">
        <v>203</v>
      </c>
      <c r="Z41" s="79" t="s">
        <v>203</v>
      </c>
      <c r="AA41" s="79" t="s">
        <v>203</v>
      </c>
      <c r="AB41" s="79" t="s">
        <v>203</v>
      </c>
      <c r="AC41" s="79" t="s">
        <v>203</v>
      </c>
      <c r="AD41" s="79" t="s">
        <v>310</v>
      </c>
      <c r="AE41" s="79" t="s">
        <v>310</v>
      </c>
      <c r="AF41" s="79" t="s">
        <v>310</v>
      </c>
      <c r="AG41" s="79" t="s">
        <v>310</v>
      </c>
      <c r="AH41" s="79" t="s">
        <v>310</v>
      </c>
      <c r="AI41" s="79" t="s">
        <v>203</v>
      </c>
      <c r="AJ41" s="79" t="s">
        <v>310</v>
      </c>
      <c r="AK41" s="79" t="s">
        <v>203</v>
      </c>
      <c r="AL41" s="79" t="s">
        <v>203</v>
      </c>
      <c r="AM41" s="79" t="s">
        <v>203</v>
      </c>
      <c r="AN41" s="79" t="s">
        <v>203</v>
      </c>
      <c r="AO41" s="79" t="s">
        <v>203</v>
      </c>
      <c r="AP41" s="79" t="s">
        <v>203</v>
      </c>
      <c r="AQ41" s="79" t="s">
        <v>203</v>
      </c>
      <c r="AR41" s="79" t="s">
        <v>203</v>
      </c>
      <c r="AS41" s="79" t="s">
        <v>203</v>
      </c>
      <c r="AT41" s="79" t="s">
        <v>310</v>
      </c>
      <c r="AU41" s="79" t="s">
        <v>310</v>
      </c>
      <c r="AV41" s="79" t="s">
        <v>310</v>
      </c>
      <c r="AW41" s="79" t="s">
        <v>310</v>
      </c>
      <c r="AX41" s="79" t="s">
        <v>310</v>
      </c>
      <c r="AY41" s="79" t="s">
        <v>310</v>
      </c>
      <c r="AZ41" s="79" t="s">
        <v>310</v>
      </c>
      <c r="BA41" s="79" t="s">
        <v>310</v>
      </c>
      <c r="BB41" s="79" t="s">
        <v>310</v>
      </c>
      <c r="BC41" s="79" t="s">
        <v>310</v>
      </c>
      <c r="BD41" s="79" t="s">
        <v>310</v>
      </c>
      <c r="BE41" s="79" t="s">
        <v>310</v>
      </c>
      <c r="BF41" s="79" t="s">
        <v>310</v>
      </c>
      <c r="BG41" s="79" t="s">
        <v>310</v>
      </c>
      <c r="BH41" s="79" t="s">
        <v>310</v>
      </c>
      <c r="BI41" s="79" t="s">
        <v>310</v>
      </c>
      <c r="BJ41" s="79" t="s">
        <v>310</v>
      </c>
    </row>
    <row r="42" spans="1:62" s="85" customFormat="1" x14ac:dyDescent="0.3">
      <c r="A42" s="43">
        <v>302007</v>
      </c>
      <c r="B42" s="44" t="s">
        <v>394</v>
      </c>
      <c r="C42" s="44" t="s">
        <v>395</v>
      </c>
      <c r="D42" s="44" t="str">
        <f t="shared" si="3"/>
        <v>302007_Equipment - servers</v>
      </c>
      <c r="E42" s="81">
        <v>300000</v>
      </c>
      <c r="F42" s="81" t="s">
        <v>215</v>
      </c>
      <c r="G42" s="44" t="s">
        <v>198</v>
      </c>
      <c r="H42" s="44" t="str">
        <f t="shared" si="1"/>
        <v>300000_Supplies and utilities</v>
      </c>
      <c r="I42" s="81">
        <v>302000</v>
      </c>
      <c r="J42" s="81" t="s">
        <v>216</v>
      </c>
      <c r="K42" s="44" t="s">
        <v>382</v>
      </c>
      <c r="L42" s="44" t="str">
        <f t="shared" si="2"/>
        <v>302000_Equipment purchase</v>
      </c>
      <c r="M42" s="82" t="s">
        <v>308</v>
      </c>
      <c r="N42" s="83" t="s">
        <v>203</v>
      </c>
      <c r="O42" s="84" t="s">
        <v>203</v>
      </c>
      <c r="P42" s="84" t="s">
        <v>203</v>
      </c>
      <c r="Q42" s="84" t="s">
        <v>203</v>
      </c>
      <c r="R42" s="84" t="s">
        <v>203</v>
      </c>
      <c r="S42" s="84" t="s">
        <v>203</v>
      </c>
      <c r="T42" s="84" t="s">
        <v>203</v>
      </c>
      <c r="U42" s="84" t="s">
        <v>203</v>
      </c>
      <c r="V42" s="84" t="s">
        <v>203</v>
      </c>
      <c r="W42" s="84" t="s">
        <v>203</v>
      </c>
      <c r="X42" s="84" t="s">
        <v>203</v>
      </c>
      <c r="Y42" s="84" t="s">
        <v>203</v>
      </c>
      <c r="Z42" s="84" t="s">
        <v>203</v>
      </c>
      <c r="AA42" s="84" t="s">
        <v>203</v>
      </c>
      <c r="AB42" s="84" t="s">
        <v>203</v>
      </c>
      <c r="AC42" s="84" t="s">
        <v>203</v>
      </c>
      <c r="AD42" s="84" t="s">
        <v>310</v>
      </c>
      <c r="AE42" s="84" t="s">
        <v>310</v>
      </c>
      <c r="AF42" s="84" t="s">
        <v>310</v>
      </c>
      <c r="AG42" s="84" t="s">
        <v>310</v>
      </c>
      <c r="AH42" s="84" t="s">
        <v>310</v>
      </c>
      <c r="AI42" s="84" t="s">
        <v>203</v>
      </c>
      <c r="AJ42" s="84" t="s">
        <v>310</v>
      </c>
      <c r="AK42" s="84" t="s">
        <v>203</v>
      </c>
      <c r="AL42" s="84" t="s">
        <v>203</v>
      </c>
      <c r="AM42" s="84" t="s">
        <v>203</v>
      </c>
      <c r="AN42" s="84" t="s">
        <v>203</v>
      </c>
      <c r="AO42" s="84" t="s">
        <v>203</v>
      </c>
      <c r="AP42" s="84" t="s">
        <v>203</v>
      </c>
      <c r="AQ42" s="84" t="s">
        <v>203</v>
      </c>
      <c r="AR42" s="84" t="s">
        <v>203</v>
      </c>
      <c r="AS42" s="84" t="s">
        <v>203</v>
      </c>
      <c r="AT42" s="84" t="s">
        <v>310</v>
      </c>
      <c r="AU42" s="84" t="s">
        <v>310</v>
      </c>
      <c r="AV42" s="84" t="s">
        <v>310</v>
      </c>
      <c r="AW42" s="84" t="s">
        <v>310</v>
      </c>
      <c r="AX42" s="84" t="s">
        <v>310</v>
      </c>
      <c r="AY42" s="84" t="s">
        <v>310</v>
      </c>
      <c r="AZ42" s="84" t="s">
        <v>310</v>
      </c>
      <c r="BA42" s="84" t="s">
        <v>310</v>
      </c>
      <c r="BB42" s="84" t="s">
        <v>310</v>
      </c>
      <c r="BC42" s="84" t="s">
        <v>310</v>
      </c>
      <c r="BD42" s="84" t="s">
        <v>310</v>
      </c>
      <c r="BE42" s="84" t="s">
        <v>310</v>
      </c>
      <c r="BF42" s="84" t="s">
        <v>310</v>
      </c>
      <c r="BG42" s="84" t="s">
        <v>310</v>
      </c>
      <c r="BH42" s="84" t="s">
        <v>310</v>
      </c>
      <c r="BI42" s="84" t="s">
        <v>310</v>
      </c>
      <c r="BJ42" s="84" t="s">
        <v>310</v>
      </c>
    </row>
    <row r="43" spans="1:62" s="80" customFormat="1" x14ac:dyDescent="0.3">
      <c r="A43" s="45">
        <v>302008</v>
      </c>
      <c r="B43" s="46" t="s">
        <v>396</v>
      </c>
      <c r="C43" s="46" t="s">
        <v>397</v>
      </c>
      <c r="D43" s="46" t="str">
        <f t="shared" si="3"/>
        <v>302008_Equipment - computer facility</v>
      </c>
      <c r="E43" s="76">
        <v>300000</v>
      </c>
      <c r="F43" s="76" t="s">
        <v>215</v>
      </c>
      <c r="G43" s="76" t="s">
        <v>198</v>
      </c>
      <c r="H43" s="77" t="str">
        <f t="shared" si="1"/>
        <v>300000_Supplies and utilities</v>
      </c>
      <c r="I43" s="76">
        <v>302000</v>
      </c>
      <c r="J43" s="76" t="s">
        <v>216</v>
      </c>
      <c r="K43" s="76" t="s">
        <v>382</v>
      </c>
      <c r="L43" s="77" t="str">
        <f t="shared" si="2"/>
        <v>302000_Equipment purchase</v>
      </c>
      <c r="M43" s="76" t="s">
        <v>308</v>
      </c>
      <c r="N43" s="78" t="s">
        <v>203</v>
      </c>
      <c r="O43" s="79" t="s">
        <v>203</v>
      </c>
      <c r="P43" s="79" t="s">
        <v>203</v>
      </c>
      <c r="Q43" s="79" t="s">
        <v>203</v>
      </c>
      <c r="R43" s="79" t="s">
        <v>203</v>
      </c>
      <c r="S43" s="79" t="s">
        <v>203</v>
      </c>
      <c r="T43" s="79" t="s">
        <v>203</v>
      </c>
      <c r="U43" s="79" t="s">
        <v>203</v>
      </c>
      <c r="V43" s="79" t="s">
        <v>203</v>
      </c>
      <c r="W43" s="79" t="s">
        <v>203</v>
      </c>
      <c r="X43" s="79" t="s">
        <v>203</v>
      </c>
      <c r="Y43" s="79" t="s">
        <v>203</v>
      </c>
      <c r="Z43" s="79" t="s">
        <v>203</v>
      </c>
      <c r="AA43" s="79" t="s">
        <v>203</v>
      </c>
      <c r="AB43" s="79" t="s">
        <v>203</v>
      </c>
      <c r="AC43" s="79" t="s">
        <v>203</v>
      </c>
      <c r="AD43" s="79" t="s">
        <v>310</v>
      </c>
      <c r="AE43" s="79" t="s">
        <v>310</v>
      </c>
      <c r="AF43" s="79" t="s">
        <v>310</v>
      </c>
      <c r="AG43" s="79" t="s">
        <v>310</v>
      </c>
      <c r="AH43" s="79" t="s">
        <v>310</v>
      </c>
      <c r="AI43" s="79" t="s">
        <v>203</v>
      </c>
      <c r="AJ43" s="79" t="s">
        <v>310</v>
      </c>
      <c r="AK43" s="79" t="s">
        <v>203</v>
      </c>
      <c r="AL43" s="79" t="s">
        <v>203</v>
      </c>
      <c r="AM43" s="79" t="s">
        <v>203</v>
      </c>
      <c r="AN43" s="79" t="s">
        <v>203</v>
      </c>
      <c r="AO43" s="79" t="s">
        <v>203</v>
      </c>
      <c r="AP43" s="79" t="s">
        <v>203</v>
      </c>
      <c r="AQ43" s="79" t="s">
        <v>203</v>
      </c>
      <c r="AR43" s="79" t="s">
        <v>203</v>
      </c>
      <c r="AS43" s="79" t="s">
        <v>203</v>
      </c>
      <c r="AT43" s="79" t="s">
        <v>310</v>
      </c>
      <c r="AU43" s="79" t="s">
        <v>310</v>
      </c>
      <c r="AV43" s="79" t="s">
        <v>310</v>
      </c>
      <c r="AW43" s="79" t="s">
        <v>310</v>
      </c>
      <c r="AX43" s="79" t="s">
        <v>310</v>
      </c>
      <c r="AY43" s="79" t="s">
        <v>310</v>
      </c>
      <c r="AZ43" s="79" t="s">
        <v>310</v>
      </c>
      <c r="BA43" s="79" t="s">
        <v>310</v>
      </c>
      <c r="BB43" s="79" t="s">
        <v>310</v>
      </c>
      <c r="BC43" s="79" t="s">
        <v>310</v>
      </c>
      <c r="BD43" s="79" t="s">
        <v>310</v>
      </c>
      <c r="BE43" s="79" t="s">
        <v>310</v>
      </c>
      <c r="BF43" s="79" t="s">
        <v>310</v>
      </c>
      <c r="BG43" s="79" t="s">
        <v>310</v>
      </c>
      <c r="BH43" s="79" t="s">
        <v>310</v>
      </c>
      <c r="BI43" s="79" t="s">
        <v>310</v>
      </c>
      <c r="BJ43" s="79" t="s">
        <v>310</v>
      </c>
    </row>
    <row r="44" spans="1:62" s="85" customFormat="1" x14ac:dyDescent="0.3">
      <c r="A44" s="43">
        <v>302009</v>
      </c>
      <c r="B44" s="44" t="s">
        <v>398</v>
      </c>
      <c r="C44" s="44" t="s">
        <v>399</v>
      </c>
      <c r="D44" s="44" t="str">
        <f t="shared" si="3"/>
        <v>302009_Engineering systems</v>
      </c>
      <c r="E44" s="81">
        <v>300000</v>
      </c>
      <c r="F44" s="81" t="s">
        <v>215</v>
      </c>
      <c r="G44" s="44" t="s">
        <v>198</v>
      </c>
      <c r="H44" s="44" t="str">
        <f t="shared" si="1"/>
        <v>300000_Supplies and utilities</v>
      </c>
      <c r="I44" s="81">
        <v>302000</v>
      </c>
      <c r="J44" s="81" t="s">
        <v>216</v>
      </c>
      <c r="K44" s="44" t="s">
        <v>382</v>
      </c>
      <c r="L44" s="44" t="str">
        <f t="shared" si="2"/>
        <v>302000_Equipment purchase</v>
      </c>
      <c r="M44" s="82" t="s">
        <v>308</v>
      </c>
      <c r="N44" s="83" t="s">
        <v>400</v>
      </c>
      <c r="O44" s="84" t="s">
        <v>203</v>
      </c>
      <c r="P44" s="84" t="s">
        <v>203</v>
      </c>
      <c r="Q44" s="84" t="s">
        <v>203</v>
      </c>
      <c r="R44" s="84" t="s">
        <v>203</v>
      </c>
      <c r="S44" s="84" t="s">
        <v>203</v>
      </c>
      <c r="T44" s="84" t="s">
        <v>203</v>
      </c>
      <c r="U44" s="84" t="s">
        <v>203</v>
      </c>
      <c r="V44" s="84" t="s">
        <v>203</v>
      </c>
      <c r="W44" s="84" t="s">
        <v>203</v>
      </c>
      <c r="X44" s="84" t="s">
        <v>203</v>
      </c>
      <c r="Y44" s="84" t="s">
        <v>203</v>
      </c>
      <c r="Z44" s="84" t="s">
        <v>203</v>
      </c>
      <c r="AA44" s="84" t="s">
        <v>203</v>
      </c>
      <c r="AB44" s="84" t="s">
        <v>203</v>
      </c>
      <c r="AC44" s="84" t="s">
        <v>203</v>
      </c>
      <c r="AD44" s="84" t="s">
        <v>310</v>
      </c>
      <c r="AE44" s="84" t="s">
        <v>310</v>
      </c>
      <c r="AF44" s="84" t="s">
        <v>310</v>
      </c>
      <c r="AG44" s="84" t="s">
        <v>310</v>
      </c>
      <c r="AH44" s="84" t="s">
        <v>310</v>
      </c>
      <c r="AI44" s="84" t="s">
        <v>203</v>
      </c>
      <c r="AJ44" s="84" t="s">
        <v>310</v>
      </c>
      <c r="AK44" s="84" t="s">
        <v>203</v>
      </c>
      <c r="AL44" s="84" t="s">
        <v>203</v>
      </c>
      <c r="AM44" s="84" t="s">
        <v>203</v>
      </c>
      <c r="AN44" s="84" t="s">
        <v>203</v>
      </c>
      <c r="AO44" s="84" t="s">
        <v>203</v>
      </c>
      <c r="AP44" s="84" t="s">
        <v>203</v>
      </c>
      <c r="AQ44" s="84" t="s">
        <v>203</v>
      </c>
      <c r="AR44" s="84" t="s">
        <v>203</v>
      </c>
      <c r="AS44" s="84" t="s">
        <v>203</v>
      </c>
      <c r="AT44" s="84" t="s">
        <v>310</v>
      </c>
      <c r="AU44" s="84" t="s">
        <v>310</v>
      </c>
      <c r="AV44" s="84" t="s">
        <v>310</v>
      </c>
      <c r="AW44" s="84" t="s">
        <v>310</v>
      </c>
      <c r="AX44" s="84" t="s">
        <v>310</v>
      </c>
      <c r="AY44" s="84" t="s">
        <v>310</v>
      </c>
      <c r="AZ44" s="84" t="s">
        <v>310</v>
      </c>
      <c r="BA44" s="84" t="s">
        <v>310</v>
      </c>
      <c r="BB44" s="84" t="s">
        <v>310</v>
      </c>
      <c r="BC44" s="84" t="s">
        <v>310</v>
      </c>
      <c r="BD44" s="84" t="s">
        <v>310</v>
      </c>
      <c r="BE44" s="84" t="s">
        <v>310</v>
      </c>
      <c r="BF44" s="84" t="s">
        <v>310</v>
      </c>
      <c r="BG44" s="84" t="s">
        <v>310</v>
      </c>
      <c r="BH44" s="84" t="s">
        <v>310</v>
      </c>
      <c r="BI44" s="84" t="s">
        <v>310</v>
      </c>
      <c r="BJ44" s="84" t="s">
        <v>310</v>
      </c>
    </row>
    <row r="45" spans="1:62" s="80" customFormat="1" x14ac:dyDescent="0.3">
      <c r="A45" s="45">
        <v>302010</v>
      </c>
      <c r="B45" s="46" t="s">
        <v>218</v>
      </c>
      <c r="C45" s="46" t="s">
        <v>401</v>
      </c>
      <c r="D45" s="46" t="str">
        <f t="shared" si="3"/>
        <v>302010_Equipment - IT  (&lt;40 000 RUR)</v>
      </c>
      <c r="E45" s="76">
        <v>300000</v>
      </c>
      <c r="F45" s="76" t="s">
        <v>215</v>
      </c>
      <c r="G45" s="76" t="s">
        <v>198</v>
      </c>
      <c r="H45" s="77" t="str">
        <f t="shared" si="1"/>
        <v>300000_Supplies and utilities</v>
      </c>
      <c r="I45" s="76">
        <v>302000</v>
      </c>
      <c r="J45" s="76" t="s">
        <v>216</v>
      </c>
      <c r="K45" s="76" t="s">
        <v>382</v>
      </c>
      <c r="L45" s="77" t="str">
        <f t="shared" si="2"/>
        <v>302000_Equipment purchase</v>
      </c>
      <c r="M45" s="76" t="s">
        <v>308</v>
      </c>
      <c r="N45" s="78" t="s">
        <v>203</v>
      </c>
      <c r="O45" s="79" t="s">
        <v>203</v>
      </c>
      <c r="P45" s="79" t="s">
        <v>203</v>
      </c>
      <c r="Q45" s="79" t="s">
        <v>203</v>
      </c>
      <c r="R45" s="79" t="s">
        <v>203</v>
      </c>
      <c r="S45" s="79" t="s">
        <v>203</v>
      </c>
      <c r="T45" s="79" t="s">
        <v>203</v>
      </c>
      <c r="U45" s="79" t="s">
        <v>203</v>
      </c>
      <c r="V45" s="79" t="s">
        <v>203</v>
      </c>
      <c r="W45" s="79" t="s">
        <v>203</v>
      </c>
      <c r="X45" s="79" t="s">
        <v>203</v>
      </c>
      <c r="Y45" s="79" t="s">
        <v>203</v>
      </c>
      <c r="Z45" s="79" t="s">
        <v>203</v>
      </c>
      <c r="AA45" s="79" t="s">
        <v>203</v>
      </c>
      <c r="AB45" s="79" t="s">
        <v>203</v>
      </c>
      <c r="AC45" s="79" t="s">
        <v>203</v>
      </c>
      <c r="AD45" s="79" t="s">
        <v>310</v>
      </c>
      <c r="AE45" s="79" t="s">
        <v>310</v>
      </c>
      <c r="AF45" s="79" t="s">
        <v>310</v>
      </c>
      <c r="AG45" s="79" t="s">
        <v>310</v>
      </c>
      <c r="AH45" s="79" t="s">
        <v>310</v>
      </c>
      <c r="AI45" s="79" t="s">
        <v>203</v>
      </c>
      <c r="AJ45" s="79" t="s">
        <v>310</v>
      </c>
      <c r="AK45" s="79" t="s">
        <v>203</v>
      </c>
      <c r="AL45" s="79" t="s">
        <v>203</v>
      </c>
      <c r="AM45" s="79" t="s">
        <v>203</v>
      </c>
      <c r="AN45" s="79" t="s">
        <v>203</v>
      </c>
      <c r="AO45" s="79" t="s">
        <v>203</v>
      </c>
      <c r="AP45" s="79" t="s">
        <v>203</v>
      </c>
      <c r="AQ45" s="79" t="s">
        <v>203</v>
      </c>
      <c r="AR45" s="79" t="s">
        <v>203</v>
      </c>
      <c r="AS45" s="79" t="s">
        <v>203</v>
      </c>
      <c r="AT45" s="79" t="s">
        <v>310</v>
      </c>
      <c r="AU45" s="79" t="s">
        <v>310</v>
      </c>
      <c r="AV45" s="79" t="s">
        <v>310</v>
      </c>
      <c r="AW45" s="79" t="s">
        <v>310</v>
      </c>
      <c r="AX45" s="79" t="s">
        <v>310</v>
      </c>
      <c r="AY45" s="79" t="s">
        <v>310</v>
      </c>
      <c r="AZ45" s="79" t="s">
        <v>310</v>
      </c>
      <c r="BA45" s="79" t="s">
        <v>310</v>
      </c>
      <c r="BB45" s="79" t="s">
        <v>310</v>
      </c>
      <c r="BC45" s="79" t="s">
        <v>310</v>
      </c>
      <c r="BD45" s="79" t="s">
        <v>310</v>
      </c>
      <c r="BE45" s="79" t="s">
        <v>310</v>
      </c>
      <c r="BF45" s="79" t="s">
        <v>310</v>
      </c>
      <c r="BG45" s="79" t="s">
        <v>310</v>
      </c>
      <c r="BH45" s="79" t="s">
        <v>310</v>
      </c>
      <c r="BI45" s="79" t="s">
        <v>310</v>
      </c>
      <c r="BJ45" s="79" t="s">
        <v>310</v>
      </c>
    </row>
    <row r="46" spans="1:62" s="85" customFormat="1" x14ac:dyDescent="0.3">
      <c r="A46" s="43">
        <v>302011</v>
      </c>
      <c r="B46" s="44" t="s">
        <v>402</v>
      </c>
      <c r="C46" s="44" t="s">
        <v>403</v>
      </c>
      <c r="D46" s="44" t="str">
        <f t="shared" si="3"/>
        <v>302011_Vehicles</v>
      </c>
      <c r="E46" s="81">
        <v>300000</v>
      </c>
      <c r="F46" s="81" t="s">
        <v>215</v>
      </c>
      <c r="G46" s="44" t="s">
        <v>198</v>
      </c>
      <c r="H46" s="44" t="str">
        <f t="shared" si="1"/>
        <v>300000_Supplies and utilities</v>
      </c>
      <c r="I46" s="81">
        <v>302000</v>
      </c>
      <c r="J46" s="81" t="s">
        <v>216</v>
      </c>
      <c r="K46" s="44" t="s">
        <v>382</v>
      </c>
      <c r="L46" s="44" t="str">
        <f t="shared" si="2"/>
        <v>302000_Equipment purchase</v>
      </c>
      <c r="M46" s="82" t="s">
        <v>308</v>
      </c>
      <c r="N46" s="83" t="s">
        <v>203</v>
      </c>
      <c r="O46" s="84" t="s">
        <v>203</v>
      </c>
      <c r="P46" s="84" t="s">
        <v>203</v>
      </c>
      <c r="Q46" s="84" t="s">
        <v>203</v>
      </c>
      <c r="R46" s="84" t="s">
        <v>203</v>
      </c>
      <c r="S46" s="84" t="s">
        <v>203</v>
      </c>
      <c r="T46" s="84" t="s">
        <v>203</v>
      </c>
      <c r="U46" s="84" t="s">
        <v>203</v>
      </c>
      <c r="V46" s="84" t="s">
        <v>203</v>
      </c>
      <c r="W46" s="84" t="s">
        <v>203</v>
      </c>
      <c r="X46" s="84" t="s">
        <v>203</v>
      </c>
      <c r="Y46" s="84" t="s">
        <v>203</v>
      </c>
      <c r="Z46" s="84" t="s">
        <v>203</v>
      </c>
      <c r="AA46" s="84" t="s">
        <v>203</v>
      </c>
      <c r="AB46" s="84" t="s">
        <v>203</v>
      </c>
      <c r="AC46" s="84" t="s">
        <v>203</v>
      </c>
      <c r="AD46" s="84" t="s">
        <v>310</v>
      </c>
      <c r="AE46" s="84" t="s">
        <v>310</v>
      </c>
      <c r="AF46" s="84" t="s">
        <v>310</v>
      </c>
      <c r="AG46" s="84" t="s">
        <v>310</v>
      </c>
      <c r="AH46" s="84" t="s">
        <v>310</v>
      </c>
      <c r="AI46" s="84" t="s">
        <v>310</v>
      </c>
      <c r="AJ46" s="84" t="s">
        <v>203</v>
      </c>
      <c r="AK46" s="84" t="s">
        <v>203</v>
      </c>
      <c r="AL46" s="84" t="s">
        <v>203</v>
      </c>
      <c r="AM46" s="84" t="s">
        <v>203</v>
      </c>
      <c r="AN46" s="84" t="s">
        <v>203</v>
      </c>
      <c r="AO46" s="84" t="s">
        <v>203</v>
      </c>
      <c r="AP46" s="84" t="s">
        <v>203</v>
      </c>
      <c r="AQ46" s="84" t="s">
        <v>203</v>
      </c>
      <c r="AR46" s="84" t="s">
        <v>203</v>
      </c>
      <c r="AS46" s="84" t="s">
        <v>203</v>
      </c>
      <c r="AT46" s="84" t="s">
        <v>203</v>
      </c>
      <c r="AU46" s="84" t="s">
        <v>203</v>
      </c>
      <c r="AV46" s="84" t="s">
        <v>203</v>
      </c>
      <c r="AW46" s="84" t="s">
        <v>203</v>
      </c>
      <c r="AX46" s="84" t="s">
        <v>203</v>
      </c>
      <c r="AY46" s="84" t="s">
        <v>203</v>
      </c>
      <c r="AZ46" s="84" t="s">
        <v>203</v>
      </c>
      <c r="BA46" s="84" t="s">
        <v>203</v>
      </c>
      <c r="BB46" s="84" t="s">
        <v>203</v>
      </c>
      <c r="BC46" s="84" t="s">
        <v>203</v>
      </c>
      <c r="BD46" s="84" t="s">
        <v>203</v>
      </c>
      <c r="BE46" s="84" t="s">
        <v>203</v>
      </c>
      <c r="BF46" s="84" t="s">
        <v>203</v>
      </c>
      <c r="BG46" s="84" t="s">
        <v>203</v>
      </c>
      <c r="BH46" s="84" t="s">
        <v>203</v>
      </c>
      <c r="BI46" s="84" t="s">
        <v>203</v>
      </c>
      <c r="BJ46" s="84" t="s">
        <v>203</v>
      </c>
    </row>
    <row r="47" spans="1:62" s="80" customFormat="1" x14ac:dyDescent="0.3">
      <c r="A47" s="45">
        <v>302998</v>
      </c>
      <c r="B47" s="46" t="s">
        <v>404</v>
      </c>
      <c r="C47" s="46" t="s">
        <v>405</v>
      </c>
      <c r="D47" s="46" t="str">
        <f t="shared" si="3"/>
        <v>302998_Equipment - other (&gt;40 000 RUR)</v>
      </c>
      <c r="E47" s="76">
        <v>300000</v>
      </c>
      <c r="F47" s="76" t="s">
        <v>215</v>
      </c>
      <c r="G47" s="76" t="s">
        <v>198</v>
      </c>
      <c r="H47" s="77" t="str">
        <f t="shared" si="1"/>
        <v>300000_Supplies and utilities</v>
      </c>
      <c r="I47" s="76">
        <v>302000</v>
      </c>
      <c r="J47" s="76" t="s">
        <v>216</v>
      </c>
      <c r="K47" s="76" t="s">
        <v>382</v>
      </c>
      <c r="L47" s="77" t="str">
        <f t="shared" si="2"/>
        <v>302000_Equipment purchase</v>
      </c>
      <c r="M47" s="76" t="s">
        <v>308</v>
      </c>
      <c r="N47" s="78" t="s">
        <v>203</v>
      </c>
      <c r="O47" s="79" t="s">
        <v>203</v>
      </c>
      <c r="P47" s="79" t="s">
        <v>203</v>
      </c>
      <c r="Q47" s="79" t="s">
        <v>203</v>
      </c>
      <c r="R47" s="79" t="s">
        <v>203</v>
      </c>
      <c r="S47" s="79" t="s">
        <v>203</v>
      </c>
      <c r="T47" s="79" t="s">
        <v>203</v>
      </c>
      <c r="U47" s="79" t="s">
        <v>203</v>
      </c>
      <c r="V47" s="79" t="s">
        <v>203</v>
      </c>
      <c r="W47" s="79" t="s">
        <v>203</v>
      </c>
      <c r="X47" s="79" t="s">
        <v>203</v>
      </c>
      <c r="Y47" s="79" t="s">
        <v>203</v>
      </c>
      <c r="Z47" s="79" t="s">
        <v>203</v>
      </c>
      <c r="AA47" s="79" t="s">
        <v>203</v>
      </c>
      <c r="AB47" s="79" t="s">
        <v>203</v>
      </c>
      <c r="AC47" s="79" t="s">
        <v>203</v>
      </c>
      <c r="AD47" s="79" t="s">
        <v>310</v>
      </c>
      <c r="AE47" s="79" t="s">
        <v>310</v>
      </c>
      <c r="AF47" s="79" t="s">
        <v>310</v>
      </c>
      <c r="AG47" s="79" t="s">
        <v>310</v>
      </c>
      <c r="AH47" s="79" t="s">
        <v>310</v>
      </c>
      <c r="AI47" s="79" t="s">
        <v>203</v>
      </c>
      <c r="AJ47" s="79" t="s">
        <v>310</v>
      </c>
      <c r="AK47" s="79" t="s">
        <v>203</v>
      </c>
      <c r="AL47" s="79" t="s">
        <v>203</v>
      </c>
      <c r="AM47" s="79" t="s">
        <v>310</v>
      </c>
      <c r="AN47" s="79" t="s">
        <v>310</v>
      </c>
      <c r="AO47" s="79" t="s">
        <v>310</v>
      </c>
      <c r="AP47" s="79" t="s">
        <v>310</v>
      </c>
      <c r="AQ47" s="79" t="s">
        <v>310</v>
      </c>
      <c r="AR47" s="79" t="s">
        <v>310</v>
      </c>
      <c r="AS47" s="79" t="s">
        <v>203</v>
      </c>
      <c r="AT47" s="79" t="s">
        <v>310</v>
      </c>
      <c r="AU47" s="79" t="s">
        <v>310</v>
      </c>
      <c r="AV47" s="79" t="s">
        <v>310</v>
      </c>
      <c r="AW47" s="79" t="s">
        <v>310</v>
      </c>
      <c r="AX47" s="79" t="s">
        <v>310</v>
      </c>
      <c r="AY47" s="79" t="s">
        <v>310</v>
      </c>
      <c r="AZ47" s="79" t="s">
        <v>310</v>
      </c>
      <c r="BA47" s="79" t="s">
        <v>310</v>
      </c>
      <c r="BB47" s="79" t="s">
        <v>310</v>
      </c>
      <c r="BC47" s="79" t="s">
        <v>310</v>
      </c>
      <c r="BD47" s="79" t="s">
        <v>310</v>
      </c>
      <c r="BE47" s="79" t="s">
        <v>310</v>
      </c>
      <c r="BF47" s="79" t="s">
        <v>310</v>
      </c>
      <c r="BG47" s="79" t="s">
        <v>310</v>
      </c>
      <c r="BH47" s="79" t="s">
        <v>310</v>
      </c>
      <c r="BI47" s="79" t="s">
        <v>310</v>
      </c>
      <c r="BJ47" s="79" t="s">
        <v>310</v>
      </c>
    </row>
    <row r="48" spans="1:62" s="85" customFormat="1" x14ac:dyDescent="0.3">
      <c r="A48" s="43">
        <v>302999</v>
      </c>
      <c r="B48" s="44" t="s">
        <v>406</v>
      </c>
      <c r="C48" s="44" t="s">
        <v>407</v>
      </c>
      <c r="D48" s="44" t="str">
        <f t="shared" si="3"/>
        <v>302999_Equipment - other (&lt;40 000 RUR)</v>
      </c>
      <c r="E48" s="81">
        <v>300000</v>
      </c>
      <c r="F48" s="81" t="s">
        <v>215</v>
      </c>
      <c r="G48" s="44" t="s">
        <v>198</v>
      </c>
      <c r="H48" s="44" t="str">
        <f t="shared" si="1"/>
        <v>300000_Supplies and utilities</v>
      </c>
      <c r="I48" s="81">
        <v>302000</v>
      </c>
      <c r="J48" s="81" t="s">
        <v>216</v>
      </c>
      <c r="K48" s="44" t="s">
        <v>382</v>
      </c>
      <c r="L48" s="44" t="str">
        <f t="shared" si="2"/>
        <v>302000_Equipment purchase</v>
      </c>
      <c r="M48" s="82" t="s">
        <v>308</v>
      </c>
      <c r="N48" s="83" t="s">
        <v>203</v>
      </c>
      <c r="O48" s="84" t="s">
        <v>203</v>
      </c>
      <c r="P48" s="84" t="s">
        <v>203</v>
      </c>
      <c r="Q48" s="84" t="s">
        <v>203</v>
      </c>
      <c r="R48" s="84" t="s">
        <v>203</v>
      </c>
      <c r="S48" s="84" t="s">
        <v>203</v>
      </c>
      <c r="T48" s="84" t="s">
        <v>203</v>
      </c>
      <c r="U48" s="84" t="s">
        <v>203</v>
      </c>
      <c r="V48" s="84" t="s">
        <v>203</v>
      </c>
      <c r="W48" s="84" t="s">
        <v>203</v>
      </c>
      <c r="X48" s="84" t="s">
        <v>203</v>
      </c>
      <c r="Y48" s="84" t="s">
        <v>203</v>
      </c>
      <c r="Z48" s="84" t="s">
        <v>203</v>
      </c>
      <c r="AA48" s="84" t="s">
        <v>203</v>
      </c>
      <c r="AB48" s="84" t="s">
        <v>203</v>
      </c>
      <c r="AC48" s="84" t="s">
        <v>203</v>
      </c>
      <c r="AD48" s="84" t="s">
        <v>310</v>
      </c>
      <c r="AE48" s="84" t="s">
        <v>310</v>
      </c>
      <c r="AF48" s="84" t="s">
        <v>310</v>
      </c>
      <c r="AG48" s="84" t="s">
        <v>310</v>
      </c>
      <c r="AH48" s="84" t="s">
        <v>310</v>
      </c>
      <c r="AI48" s="84" t="s">
        <v>203</v>
      </c>
      <c r="AJ48" s="84" t="s">
        <v>310</v>
      </c>
      <c r="AK48" s="84" t="s">
        <v>203</v>
      </c>
      <c r="AL48" s="84" t="s">
        <v>203</v>
      </c>
      <c r="AM48" s="84" t="s">
        <v>310</v>
      </c>
      <c r="AN48" s="84" t="s">
        <v>310</v>
      </c>
      <c r="AO48" s="84" t="s">
        <v>310</v>
      </c>
      <c r="AP48" s="84" t="s">
        <v>310</v>
      </c>
      <c r="AQ48" s="84" t="s">
        <v>310</v>
      </c>
      <c r="AR48" s="84" t="s">
        <v>310</v>
      </c>
      <c r="AS48" s="84" t="s">
        <v>203</v>
      </c>
      <c r="AT48" s="84" t="s">
        <v>310</v>
      </c>
      <c r="AU48" s="84" t="s">
        <v>310</v>
      </c>
      <c r="AV48" s="84" t="s">
        <v>310</v>
      </c>
      <c r="AW48" s="84" t="s">
        <v>310</v>
      </c>
      <c r="AX48" s="84" t="s">
        <v>310</v>
      </c>
      <c r="AY48" s="84" t="s">
        <v>310</v>
      </c>
      <c r="AZ48" s="84" t="s">
        <v>310</v>
      </c>
      <c r="BA48" s="84" t="s">
        <v>310</v>
      </c>
      <c r="BB48" s="84" t="s">
        <v>310</v>
      </c>
      <c r="BC48" s="84" t="s">
        <v>310</v>
      </c>
      <c r="BD48" s="84" t="s">
        <v>310</v>
      </c>
      <c r="BE48" s="84" t="s">
        <v>310</v>
      </c>
      <c r="BF48" s="84" t="s">
        <v>310</v>
      </c>
      <c r="BG48" s="84" t="s">
        <v>310</v>
      </c>
      <c r="BH48" s="84" t="s">
        <v>310</v>
      </c>
      <c r="BI48" s="84" t="s">
        <v>310</v>
      </c>
      <c r="BJ48" s="84" t="s">
        <v>310</v>
      </c>
    </row>
    <row r="49" spans="1:62" s="80" customFormat="1" x14ac:dyDescent="0.3">
      <c r="A49" s="45">
        <v>303001</v>
      </c>
      <c r="B49" s="46" t="s">
        <v>408</v>
      </c>
      <c r="C49" s="46" t="s">
        <v>409</v>
      </c>
      <c r="D49" s="46" t="str">
        <f t="shared" si="3"/>
        <v>303001_Furniture for laboratories (&gt;40 000 RUR)</v>
      </c>
      <c r="E49" s="76">
        <v>300000</v>
      </c>
      <c r="F49" s="76" t="s">
        <v>215</v>
      </c>
      <c r="G49" s="76" t="s">
        <v>198</v>
      </c>
      <c r="H49" s="77" t="str">
        <f t="shared" si="1"/>
        <v>300000_Supplies and utilities</v>
      </c>
      <c r="I49" s="76">
        <v>303000</v>
      </c>
      <c r="J49" s="76" t="s">
        <v>410</v>
      </c>
      <c r="K49" s="76" t="s">
        <v>411</v>
      </c>
      <c r="L49" s="77" t="str">
        <f t="shared" si="2"/>
        <v>303000_Furniture purchase</v>
      </c>
      <c r="M49" s="76" t="s">
        <v>308</v>
      </c>
      <c r="N49" s="78" t="s">
        <v>203</v>
      </c>
      <c r="O49" s="79" t="s">
        <v>203</v>
      </c>
      <c r="P49" s="79" t="s">
        <v>203</v>
      </c>
      <c r="Q49" s="79" t="s">
        <v>203</v>
      </c>
      <c r="R49" s="79" t="s">
        <v>203</v>
      </c>
      <c r="S49" s="79" t="s">
        <v>203</v>
      </c>
      <c r="T49" s="79" t="s">
        <v>203</v>
      </c>
      <c r="U49" s="79" t="s">
        <v>203</v>
      </c>
      <c r="V49" s="79" t="s">
        <v>203</v>
      </c>
      <c r="W49" s="79" t="s">
        <v>203</v>
      </c>
      <c r="X49" s="79" t="s">
        <v>203</v>
      </c>
      <c r="Y49" s="79" t="s">
        <v>203</v>
      </c>
      <c r="Z49" s="79" t="s">
        <v>203</v>
      </c>
      <c r="AA49" s="79" t="s">
        <v>203</v>
      </c>
      <c r="AB49" s="79" t="s">
        <v>203</v>
      </c>
      <c r="AC49" s="79" t="s">
        <v>203</v>
      </c>
      <c r="AD49" s="79" t="s">
        <v>310</v>
      </c>
      <c r="AE49" s="79" t="s">
        <v>310</v>
      </c>
      <c r="AF49" s="79" t="s">
        <v>310</v>
      </c>
      <c r="AG49" s="79" t="s">
        <v>310</v>
      </c>
      <c r="AH49" s="79" t="s">
        <v>310</v>
      </c>
      <c r="AI49" s="79" t="s">
        <v>203</v>
      </c>
      <c r="AJ49" s="79" t="s">
        <v>203</v>
      </c>
      <c r="AK49" s="79" t="s">
        <v>203</v>
      </c>
      <c r="AL49" s="79" t="s">
        <v>203</v>
      </c>
      <c r="AM49" s="79" t="s">
        <v>203</v>
      </c>
      <c r="AN49" s="79" t="s">
        <v>203</v>
      </c>
      <c r="AO49" s="79" t="s">
        <v>203</v>
      </c>
      <c r="AP49" s="79" t="s">
        <v>203</v>
      </c>
      <c r="AQ49" s="79" t="s">
        <v>203</v>
      </c>
      <c r="AR49" s="79" t="s">
        <v>203</v>
      </c>
      <c r="AS49" s="79" t="s">
        <v>203</v>
      </c>
      <c r="AT49" s="79" t="s">
        <v>310</v>
      </c>
      <c r="AU49" s="79" t="s">
        <v>310</v>
      </c>
      <c r="AV49" s="79" t="s">
        <v>310</v>
      </c>
      <c r="AW49" s="79" t="s">
        <v>310</v>
      </c>
      <c r="AX49" s="79" t="s">
        <v>310</v>
      </c>
      <c r="AY49" s="79" t="s">
        <v>310</v>
      </c>
      <c r="AZ49" s="79" t="s">
        <v>310</v>
      </c>
      <c r="BA49" s="79" t="s">
        <v>310</v>
      </c>
      <c r="BB49" s="79" t="s">
        <v>310</v>
      </c>
      <c r="BC49" s="79" t="s">
        <v>310</v>
      </c>
      <c r="BD49" s="79" t="s">
        <v>310</v>
      </c>
      <c r="BE49" s="79" t="s">
        <v>310</v>
      </c>
      <c r="BF49" s="79" t="s">
        <v>310</v>
      </c>
      <c r="BG49" s="79" t="s">
        <v>310</v>
      </c>
      <c r="BH49" s="79" t="s">
        <v>310</v>
      </c>
      <c r="BI49" s="79" t="s">
        <v>310</v>
      </c>
      <c r="BJ49" s="79" t="s">
        <v>310</v>
      </c>
    </row>
    <row r="50" spans="1:62" s="85" customFormat="1" x14ac:dyDescent="0.3">
      <c r="A50" s="43">
        <v>303002</v>
      </c>
      <c r="B50" s="44" t="s">
        <v>412</v>
      </c>
      <c r="C50" s="44" t="s">
        <v>413</v>
      </c>
      <c r="D50" s="44" t="str">
        <f t="shared" si="3"/>
        <v>303002_Furniture for laboratories (&lt;40 000 RUR)</v>
      </c>
      <c r="E50" s="81">
        <v>300000</v>
      </c>
      <c r="F50" s="81" t="s">
        <v>215</v>
      </c>
      <c r="G50" s="44" t="s">
        <v>198</v>
      </c>
      <c r="H50" s="44" t="str">
        <f t="shared" si="1"/>
        <v>300000_Supplies and utilities</v>
      </c>
      <c r="I50" s="81">
        <v>303000</v>
      </c>
      <c r="J50" s="81" t="s">
        <v>410</v>
      </c>
      <c r="K50" s="44" t="s">
        <v>411</v>
      </c>
      <c r="L50" s="44" t="str">
        <f t="shared" si="2"/>
        <v>303000_Furniture purchase</v>
      </c>
      <c r="M50" s="82" t="s">
        <v>308</v>
      </c>
      <c r="N50" s="83" t="s">
        <v>203</v>
      </c>
      <c r="O50" s="84" t="s">
        <v>203</v>
      </c>
      <c r="P50" s="84" t="s">
        <v>203</v>
      </c>
      <c r="Q50" s="84" t="s">
        <v>203</v>
      </c>
      <c r="R50" s="84" t="s">
        <v>203</v>
      </c>
      <c r="S50" s="84" t="s">
        <v>203</v>
      </c>
      <c r="T50" s="84" t="s">
        <v>203</v>
      </c>
      <c r="U50" s="84" t="s">
        <v>203</v>
      </c>
      <c r="V50" s="84" t="s">
        <v>203</v>
      </c>
      <c r="W50" s="84" t="s">
        <v>203</v>
      </c>
      <c r="X50" s="84" t="s">
        <v>203</v>
      </c>
      <c r="Y50" s="84" t="s">
        <v>203</v>
      </c>
      <c r="Z50" s="84" t="s">
        <v>203</v>
      </c>
      <c r="AA50" s="84" t="s">
        <v>203</v>
      </c>
      <c r="AB50" s="84" t="s">
        <v>203</v>
      </c>
      <c r="AC50" s="84" t="s">
        <v>203</v>
      </c>
      <c r="AD50" s="84" t="s">
        <v>310</v>
      </c>
      <c r="AE50" s="84" t="s">
        <v>310</v>
      </c>
      <c r="AF50" s="84" t="s">
        <v>310</v>
      </c>
      <c r="AG50" s="84" t="s">
        <v>310</v>
      </c>
      <c r="AH50" s="84" t="s">
        <v>310</v>
      </c>
      <c r="AI50" s="84" t="s">
        <v>203</v>
      </c>
      <c r="AJ50" s="84" t="s">
        <v>203</v>
      </c>
      <c r="AK50" s="84" t="s">
        <v>203</v>
      </c>
      <c r="AL50" s="84" t="s">
        <v>203</v>
      </c>
      <c r="AM50" s="84" t="s">
        <v>203</v>
      </c>
      <c r="AN50" s="84" t="s">
        <v>203</v>
      </c>
      <c r="AO50" s="84" t="s">
        <v>203</v>
      </c>
      <c r="AP50" s="84" t="s">
        <v>203</v>
      </c>
      <c r="AQ50" s="84" t="s">
        <v>203</v>
      </c>
      <c r="AR50" s="84" t="s">
        <v>203</v>
      </c>
      <c r="AS50" s="84" t="s">
        <v>203</v>
      </c>
      <c r="AT50" s="84" t="s">
        <v>310</v>
      </c>
      <c r="AU50" s="84" t="s">
        <v>310</v>
      </c>
      <c r="AV50" s="84" t="s">
        <v>310</v>
      </c>
      <c r="AW50" s="84" t="s">
        <v>310</v>
      </c>
      <c r="AX50" s="84" t="s">
        <v>310</v>
      </c>
      <c r="AY50" s="84" t="s">
        <v>310</v>
      </c>
      <c r="AZ50" s="84" t="s">
        <v>310</v>
      </c>
      <c r="BA50" s="84" t="s">
        <v>310</v>
      </c>
      <c r="BB50" s="84" t="s">
        <v>310</v>
      </c>
      <c r="BC50" s="84" t="s">
        <v>310</v>
      </c>
      <c r="BD50" s="84" t="s">
        <v>310</v>
      </c>
      <c r="BE50" s="84" t="s">
        <v>310</v>
      </c>
      <c r="BF50" s="84" t="s">
        <v>310</v>
      </c>
      <c r="BG50" s="84" t="s">
        <v>310</v>
      </c>
      <c r="BH50" s="84" t="s">
        <v>310</v>
      </c>
      <c r="BI50" s="84" t="s">
        <v>310</v>
      </c>
      <c r="BJ50" s="84" t="s">
        <v>310</v>
      </c>
    </row>
    <row r="51" spans="1:62" s="80" customFormat="1" x14ac:dyDescent="0.3">
      <c r="A51" s="45">
        <v>303003</v>
      </c>
      <c r="B51" s="46" t="s">
        <v>414</v>
      </c>
      <c r="C51" s="46" t="s">
        <v>415</v>
      </c>
      <c r="D51" s="46" t="str">
        <f t="shared" si="3"/>
        <v>303003_Furniture for office (&gt;40 000 RUR)</v>
      </c>
      <c r="E51" s="76">
        <v>300000</v>
      </c>
      <c r="F51" s="76" t="s">
        <v>215</v>
      </c>
      <c r="G51" s="76" t="s">
        <v>198</v>
      </c>
      <c r="H51" s="77" t="str">
        <f t="shared" si="1"/>
        <v>300000_Supplies and utilities</v>
      </c>
      <c r="I51" s="76">
        <v>303000</v>
      </c>
      <c r="J51" s="76" t="s">
        <v>410</v>
      </c>
      <c r="K51" s="76" t="s">
        <v>411</v>
      </c>
      <c r="L51" s="77" t="str">
        <f t="shared" si="2"/>
        <v>303000_Furniture purchase</v>
      </c>
      <c r="M51" s="76" t="s">
        <v>308</v>
      </c>
      <c r="N51" s="78" t="s">
        <v>203</v>
      </c>
      <c r="O51" s="79" t="s">
        <v>203</v>
      </c>
      <c r="P51" s="79" t="s">
        <v>203</v>
      </c>
      <c r="Q51" s="79" t="s">
        <v>203</v>
      </c>
      <c r="R51" s="79" t="s">
        <v>203</v>
      </c>
      <c r="S51" s="79" t="s">
        <v>203</v>
      </c>
      <c r="T51" s="79" t="s">
        <v>203</v>
      </c>
      <c r="U51" s="79" t="s">
        <v>203</v>
      </c>
      <c r="V51" s="79" t="s">
        <v>203</v>
      </c>
      <c r="W51" s="79" t="s">
        <v>203</v>
      </c>
      <c r="X51" s="79" t="s">
        <v>203</v>
      </c>
      <c r="Y51" s="79" t="s">
        <v>203</v>
      </c>
      <c r="Z51" s="79" t="s">
        <v>203</v>
      </c>
      <c r="AA51" s="79" t="s">
        <v>203</v>
      </c>
      <c r="AB51" s="79" t="s">
        <v>203</v>
      </c>
      <c r="AC51" s="79" t="s">
        <v>203</v>
      </c>
      <c r="AD51" s="79" t="s">
        <v>310</v>
      </c>
      <c r="AE51" s="79" t="s">
        <v>310</v>
      </c>
      <c r="AF51" s="79" t="s">
        <v>310</v>
      </c>
      <c r="AG51" s="79" t="s">
        <v>310</v>
      </c>
      <c r="AH51" s="79" t="s">
        <v>310</v>
      </c>
      <c r="AI51" s="79" t="s">
        <v>203</v>
      </c>
      <c r="AJ51" s="79" t="s">
        <v>203</v>
      </c>
      <c r="AK51" s="79" t="s">
        <v>203</v>
      </c>
      <c r="AL51" s="79" t="s">
        <v>203</v>
      </c>
      <c r="AM51" s="79" t="s">
        <v>203</v>
      </c>
      <c r="AN51" s="79" t="s">
        <v>203</v>
      </c>
      <c r="AO51" s="79" t="s">
        <v>203</v>
      </c>
      <c r="AP51" s="79" t="s">
        <v>203</v>
      </c>
      <c r="AQ51" s="79" t="s">
        <v>203</v>
      </c>
      <c r="AR51" s="79" t="s">
        <v>203</v>
      </c>
      <c r="AS51" s="79" t="s">
        <v>203</v>
      </c>
      <c r="AT51" s="79" t="s">
        <v>310</v>
      </c>
      <c r="AU51" s="79" t="s">
        <v>310</v>
      </c>
      <c r="AV51" s="79" t="s">
        <v>310</v>
      </c>
      <c r="AW51" s="79" t="s">
        <v>310</v>
      </c>
      <c r="AX51" s="79" t="s">
        <v>310</v>
      </c>
      <c r="AY51" s="79" t="s">
        <v>310</v>
      </c>
      <c r="AZ51" s="79" t="s">
        <v>310</v>
      </c>
      <c r="BA51" s="79" t="s">
        <v>310</v>
      </c>
      <c r="BB51" s="79" t="s">
        <v>310</v>
      </c>
      <c r="BC51" s="79" t="s">
        <v>310</v>
      </c>
      <c r="BD51" s="79" t="s">
        <v>310</v>
      </c>
      <c r="BE51" s="79" t="s">
        <v>310</v>
      </c>
      <c r="BF51" s="79" t="s">
        <v>310</v>
      </c>
      <c r="BG51" s="79" t="s">
        <v>310</v>
      </c>
      <c r="BH51" s="79" t="s">
        <v>310</v>
      </c>
      <c r="BI51" s="79" t="s">
        <v>310</v>
      </c>
      <c r="BJ51" s="79" t="s">
        <v>310</v>
      </c>
    </row>
    <row r="52" spans="1:62" s="85" customFormat="1" x14ac:dyDescent="0.3">
      <c r="A52" s="43">
        <v>303004</v>
      </c>
      <c r="B52" s="44" t="s">
        <v>416</v>
      </c>
      <c r="C52" s="44" t="s">
        <v>417</v>
      </c>
      <c r="D52" s="44" t="str">
        <f t="shared" si="3"/>
        <v>303004_Furniture for office (&lt;40 000 RUR)</v>
      </c>
      <c r="E52" s="81">
        <v>300000</v>
      </c>
      <c r="F52" s="81" t="s">
        <v>215</v>
      </c>
      <c r="G52" s="44" t="s">
        <v>198</v>
      </c>
      <c r="H52" s="44" t="str">
        <f t="shared" si="1"/>
        <v>300000_Supplies and utilities</v>
      </c>
      <c r="I52" s="81">
        <v>303000</v>
      </c>
      <c r="J52" s="81" t="s">
        <v>410</v>
      </c>
      <c r="K52" s="44" t="s">
        <v>411</v>
      </c>
      <c r="L52" s="44" t="str">
        <f t="shared" si="2"/>
        <v>303000_Furniture purchase</v>
      </c>
      <c r="M52" s="82" t="s">
        <v>308</v>
      </c>
      <c r="N52" s="83" t="s">
        <v>203</v>
      </c>
      <c r="O52" s="84" t="s">
        <v>203</v>
      </c>
      <c r="P52" s="84" t="s">
        <v>203</v>
      </c>
      <c r="Q52" s="84" t="s">
        <v>203</v>
      </c>
      <c r="R52" s="84" t="s">
        <v>203</v>
      </c>
      <c r="S52" s="84" t="s">
        <v>203</v>
      </c>
      <c r="T52" s="84" t="s">
        <v>203</v>
      </c>
      <c r="U52" s="84" t="s">
        <v>203</v>
      </c>
      <c r="V52" s="84" t="s">
        <v>203</v>
      </c>
      <c r="W52" s="84" t="s">
        <v>203</v>
      </c>
      <c r="X52" s="84" t="s">
        <v>203</v>
      </c>
      <c r="Y52" s="84" t="s">
        <v>203</v>
      </c>
      <c r="Z52" s="84" t="s">
        <v>203</v>
      </c>
      <c r="AA52" s="84" t="s">
        <v>203</v>
      </c>
      <c r="AB52" s="84" t="s">
        <v>203</v>
      </c>
      <c r="AC52" s="84" t="s">
        <v>203</v>
      </c>
      <c r="AD52" s="84" t="s">
        <v>310</v>
      </c>
      <c r="AE52" s="84" t="s">
        <v>310</v>
      </c>
      <c r="AF52" s="84" t="s">
        <v>310</v>
      </c>
      <c r="AG52" s="84" t="s">
        <v>310</v>
      </c>
      <c r="AH52" s="84" t="s">
        <v>310</v>
      </c>
      <c r="AI52" s="84" t="s">
        <v>203</v>
      </c>
      <c r="AJ52" s="84" t="s">
        <v>203</v>
      </c>
      <c r="AK52" s="84" t="s">
        <v>203</v>
      </c>
      <c r="AL52" s="84" t="s">
        <v>203</v>
      </c>
      <c r="AM52" s="84" t="s">
        <v>203</v>
      </c>
      <c r="AN52" s="84" t="s">
        <v>203</v>
      </c>
      <c r="AO52" s="84" t="s">
        <v>203</v>
      </c>
      <c r="AP52" s="84" t="s">
        <v>203</v>
      </c>
      <c r="AQ52" s="84" t="s">
        <v>203</v>
      </c>
      <c r="AR52" s="84" t="s">
        <v>203</v>
      </c>
      <c r="AS52" s="84" t="s">
        <v>203</v>
      </c>
      <c r="AT52" s="84" t="s">
        <v>310</v>
      </c>
      <c r="AU52" s="84" t="s">
        <v>310</v>
      </c>
      <c r="AV52" s="84" t="s">
        <v>310</v>
      </c>
      <c r="AW52" s="84" t="s">
        <v>310</v>
      </c>
      <c r="AX52" s="84" t="s">
        <v>310</v>
      </c>
      <c r="AY52" s="84" t="s">
        <v>310</v>
      </c>
      <c r="AZ52" s="84" t="s">
        <v>310</v>
      </c>
      <c r="BA52" s="84" t="s">
        <v>310</v>
      </c>
      <c r="BB52" s="84" t="s">
        <v>310</v>
      </c>
      <c r="BC52" s="84" t="s">
        <v>310</v>
      </c>
      <c r="BD52" s="84" t="s">
        <v>310</v>
      </c>
      <c r="BE52" s="84" t="s">
        <v>310</v>
      </c>
      <c r="BF52" s="84" t="s">
        <v>310</v>
      </c>
      <c r="BG52" s="84" t="s">
        <v>310</v>
      </c>
      <c r="BH52" s="84" t="s">
        <v>310</v>
      </c>
      <c r="BI52" s="84" t="s">
        <v>310</v>
      </c>
      <c r="BJ52" s="84" t="s">
        <v>310</v>
      </c>
    </row>
    <row r="53" spans="1:62" s="80" customFormat="1" x14ac:dyDescent="0.3">
      <c r="A53" s="45">
        <v>303005</v>
      </c>
      <c r="B53" s="46" t="s">
        <v>418</v>
      </c>
      <c r="C53" s="46" t="s">
        <v>419</v>
      </c>
      <c r="D53" s="46" t="str">
        <f t="shared" si="3"/>
        <v>303005_Furniture other (&gt;40 000 RUR)</v>
      </c>
      <c r="E53" s="76">
        <v>300000</v>
      </c>
      <c r="F53" s="76" t="s">
        <v>215</v>
      </c>
      <c r="G53" s="76" t="s">
        <v>198</v>
      </c>
      <c r="H53" s="77" t="str">
        <f t="shared" si="1"/>
        <v>300000_Supplies and utilities</v>
      </c>
      <c r="I53" s="76">
        <v>303000</v>
      </c>
      <c r="J53" s="76" t="s">
        <v>410</v>
      </c>
      <c r="K53" s="76" t="s">
        <v>411</v>
      </c>
      <c r="L53" s="77" t="str">
        <f t="shared" si="2"/>
        <v>303000_Furniture purchase</v>
      </c>
      <c r="M53" s="76" t="s">
        <v>308</v>
      </c>
      <c r="N53" s="78" t="s">
        <v>203</v>
      </c>
      <c r="O53" s="79" t="s">
        <v>203</v>
      </c>
      <c r="P53" s="79" t="s">
        <v>203</v>
      </c>
      <c r="Q53" s="79" t="s">
        <v>203</v>
      </c>
      <c r="R53" s="79" t="s">
        <v>203</v>
      </c>
      <c r="S53" s="79" t="s">
        <v>203</v>
      </c>
      <c r="T53" s="79" t="s">
        <v>203</v>
      </c>
      <c r="U53" s="79" t="s">
        <v>203</v>
      </c>
      <c r="V53" s="79" t="s">
        <v>203</v>
      </c>
      <c r="W53" s="79" t="s">
        <v>203</v>
      </c>
      <c r="X53" s="79" t="s">
        <v>203</v>
      </c>
      <c r="Y53" s="79" t="s">
        <v>203</v>
      </c>
      <c r="Z53" s="79" t="s">
        <v>203</v>
      </c>
      <c r="AA53" s="79" t="s">
        <v>203</v>
      </c>
      <c r="AB53" s="79" t="s">
        <v>203</v>
      </c>
      <c r="AC53" s="79" t="s">
        <v>203</v>
      </c>
      <c r="AD53" s="79" t="s">
        <v>310</v>
      </c>
      <c r="AE53" s="79" t="s">
        <v>310</v>
      </c>
      <c r="AF53" s="79" t="s">
        <v>310</v>
      </c>
      <c r="AG53" s="79" t="s">
        <v>310</v>
      </c>
      <c r="AH53" s="79" t="s">
        <v>310</v>
      </c>
      <c r="AI53" s="79" t="s">
        <v>203</v>
      </c>
      <c r="AJ53" s="79" t="s">
        <v>203</v>
      </c>
      <c r="AK53" s="79" t="s">
        <v>203</v>
      </c>
      <c r="AL53" s="79" t="s">
        <v>203</v>
      </c>
      <c r="AM53" s="79" t="s">
        <v>203</v>
      </c>
      <c r="AN53" s="79" t="s">
        <v>203</v>
      </c>
      <c r="AO53" s="79" t="s">
        <v>203</v>
      </c>
      <c r="AP53" s="79" t="s">
        <v>203</v>
      </c>
      <c r="AQ53" s="79" t="s">
        <v>203</v>
      </c>
      <c r="AR53" s="79" t="s">
        <v>203</v>
      </c>
      <c r="AS53" s="79" t="s">
        <v>203</v>
      </c>
      <c r="AT53" s="79" t="s">
        <v>310</v>
      </c>
      <c r="AU53" s="79" t="s">
        <v>310</v>
      </c>
      <c r="AV53" s="79" t="s">
        <v>310</v>
      </c>
      <c r="AW53" s="79" t="s">
        <v>310</v>
      </c>
      <c r="AX53" s="79" t="s">
        <v>310</v>
      </c>
      <c r="AY53" s="79" t="s">
        <v>310</v>
      </c>
      <c r="AZ53" s="79" t="s">
        <v>310</v>
      </c>
      <c r="BA53" s="79" t="s">
        <v>310</v>
      </c>
      <c r="BB53" s="79" t="s">
        <v>310</v>
      </c>
      <c r="BC53" s="79" t="s">
        <v>310</v>
      </c>
      <c r="BD53" s="79" t="s">
        <v>310</v>
      </c>
      <c r="BE53" s="79" t="s">
        <v>310</v>
      </c>
      <c r="BF53" s="79" t="s">
        <v>310</v>
      </c>
      <c r="BG53" s="79" t="s">
        <v>310</v>
      </c>
      <c r="BH53" s="79" t="s">
        <v>310</v>
      </c>
      <c r="BI53" s="79" t="s">
        <v>310</v>
      </c>
      <c r="BJ53" s="79" t="s">
        <v>310</v>
      </c>
    </row>
    <row r="54" spans="1:62" s="85" customFormat="1" x14ac:dyDescent="0.3">
      <c r="A54" s="43">
        <v>303006</v>
      </c>
      <c r="B54" s="44" t="s">
        <v>420</v>
      </c>
      <c r="C54" s="44" t="s">
        <v>421</v>
      </c>
      <c r="D54" s="44" t="str">
        <f t="shared" si="3"/>
        <v>303006_Furniture other (&lt;40 000 RUR)</v>
      </c>
      <c r="E54" s="81">
        <v>300000</v>
      </c>
      <c r="F54" s="81" t="s">
        <v>215</v>
      </c>
      <c r="G54" s="44" t="s">
        <v>198</v>
      </c>
      <c r="H54" s="44" t="str">
        <f t="shared" si="1"/>
        <v>300000_Supplies and utilities</v>
      </c>
      <c r="I54" s="81">
        <v>303000</v>
      </c>
      <c r="J54" s="81" t="s">
        <v>410</v>
      </c>
      <c r="K54" s="44" t="s">
        <v>411</v>
      </c>
      <c r="L54" s="44" t="str">
        <f t="shared" si="2"/>
        <v>303000_Furniture purchase</v>
      </c>
      <c r="M54" s="82" t="s">
        <v>308</v>
      </c>
      <c r="N54" s="83" t="s">
        <v>203</v>
      </c>
      <c r="O54" s="84" t="s">
        <v>203</v>
      </c>
      <c r="P54" s="84" t="s">
        <v>203</v>
      </c>
      <c r="Q54" s="84" t="s">
        <v>203</v>
      </c>
      <c r="R54" s="84" t="s">
        <v>203</v>
      </c>
      <c r="S54" s="84" t="s">
        <v>203</v>
      </c>
      <c r="T54" s="84" t="s">
        <v>203</v>
      </c>
      <c r="U54" s="84" t="s">
        <v>203</v>
      </c>
      <c r="V54" s="84" t="s">
        <v>203</v>
      </c>
      <c r="W54" s="84" t="s">
        <v>203</v>
      </c>
      <c r="X54" s="84" t="s">
        <v>203</v>
      </c>
      <c r="Y54" s="84" t="s">
        <v>203</v>
      </c>
      <c r="Z54" s="84" t="s">
        <v>203</v>
      </c>
      <c r="AA54" s="84" t="s">
        <v>203</v>
      </c>
      <c r="AB54" s="84" t="s">
        <v>203</v>
      </c>
      <c r="AC54" s="84" t="s">
        <v>203</v>
      </c>
      <c r="AD54" s="84" t="s">
        <v>310</v>
      </c>
      <c r="AE54" s="84" t="s">
        <v>310</v>
      </c>
      <c r="AF54" s="84" t="s">
        <v>310</v>
      </c>
      <c r="AG54" s="84" t="s">
        <v>310</v>
      </c>
      <c r="AH54" s="84" t="s">
        <v>310</v>
      </c>
      <c r="AI54" s="84" t="s">
        <v>203</v>
      </c>
      <c r="AJ54" s="84" t="s">
        <v>203</v>
      </c>
      <c r="AK54" s="84" t="s">
        <v>203</v>
      </c>
      <c r="AL54" s="84" t="s">
        <v>203</v>
      </c>
      <c r="AM54" s="84" t="s">
        <v>203</v>
      </c>
      <c r="AN54" s="84" t="s">
        <v>203</v>
      </c>
      <c r="AO54" s="84" t="s">
        <v>203</v>
      </c>
      <c r="AP54" s="84" t="s">
        <v>203</v>
      </c>
      <c r="AQ54" s="84" t="s">
        <v>203</v>
      </c>
      <c r="AR54" s="84" t="s">
        <v>203</v>
      </c>
      <c r="AS54" s="84" t="s">
        <v>203</v>
      </c>
      <c r="AT54" s="84" t="s">
        <v>310</v>
      </c>
      <c r="AU54" s="84" t="s">
        <v>310</v>
      </c>
      <c r="AV54" s="84" t="s">
        <v>310</v>
      </c>
      <c r="AW54" s="84" t="s">
        <v>310</v>
      </c>
      <c r="AX54" s="84" t="s">
        <v>310</v>
      </c>
      <c r="AY54" s="84" t="s">
        <v>310</v>
      </c>
      <c r="AZ54" s="84" t="s">
        <v>310</v>
      </c>
      <c r="BA54" s="84" t="s">
        <v>310</v>
      </c>
      <c r="BB54" s="84" t="s">
        <v>310</v>
      </c>
      <c r="BC54" s="84" t="s">
        <v>310</v>
      </c>
      <c r="BD54" s="84" t="s">
        <v>310</v>
      </c>
      <c r="BE54" s="84" t="s">
        <v>310</v>
      </c>
      <c r="BF54" s="84" t="s">
        <v>310</v>
      </c>
      <c r="BG54" s="84" t="s">
        <v>310</v>
      </c>
      <c r="BH54" s="84" t="s">
        <v>310</v>
      </c>
      <c r="BI54" s="84" t="s">
        <v>310</v>
      </c>
      <c r="BJ54" s="84" t="s">
        <v>310</v>
      </c>
    </row>
    <row r="55" spans="1:62" s="80" customFormat="1" x14ac:dyDescent="0.3">
      <c r="A55" s="45">
        <v>304001</v>
      </c>
      <c r="B55" s="46" t="s">
        <v>13</v>
      </c>
      <c r="C55" s="46" t="s">
        <v>422</v>
      </c>
      <c r="D55" s="46" t="str">
        <f t="shared" si="3"/>
        <v>304001_Materials for laboratories</v>
      </c>
      <c r="E55" s="76">
        <v>300000</v>
      </c>
      <c r="F55" s="76" t="s">
        <v>215</v>
      </c>
      <c r="G55" s="76" t="s">
        <v>198</v>
      </c>
      <c r="H55" s="77" t="str">
        <f t="shared" si="1"/>
        <v>300000_Supplies and utilities</v>
      </c>
      <c r="I55" s="76">
        <v>304000</v>
      </c>
      <c r="J55" s="76" t="s">
        <v>219</v>
      </c>
      <c r="K55" s="76" t="s">
        <v>423</v>
      </c>
      <c r="L55" s="77" t="str">
        <f t="shared" si="2"/>
        <v>304000_Materials purchase</v>
      </c>
      <c r="M55" s="76" t="s">
        <v>308</v>
      </c>
      <c r="N55" s="78" t="s">
        <v>203</v>
      </c>
      <c r="O55" s="79" t="s">
        <v>203</v>
      </c>
      <c r="P55" s="79" t="s">
        <v>203</v>
      </c>
      <c r="Q55" s="79" t="s">
        <v>203</v>
      </c>
      <c r="R55" s="79" t="s">
        <v>203</v>
      </c>
      <c r="S55" s="79" t="s">
        <v>203</v>
      </c>
      <c r="T55" s="79" t="s">
        <v>203</v>
      </c>
      <c r="U55" s="79" t="s">
        <v>203</v>
      </c>
      <c r="V55" s="79" t="s">
        <v>203</v>
      </c>
      <c r="W55" s="79" t="s">
        <v>203</v>
      </c>
      <c r="X55" s="79" t="s">
        <v>203</v>
      </c>
      <c r="Y55" s="79" t="s">
        <v>203</v>
      </c>
      <c r="Z55" s="79" t="s">
        <v>203</v>
      </c>
      <c r="AA55" s="79" t="s">
        <v>203</v>
      </c>
      <c r="AB55" s="79" t="s">
        <v>203</v>
      </c>
      <c r="AC55" s="79" t="s">
        <v>203</v>
      </c>
      <c r="AD55" s="79" t="s">
        <v>310</v>
      </c>
      <c r="AE55" s="79" t="s">
        <v>310</v>
      </c>
      <c r="AF55" s="79" t="s">
        <v>310</v>
      </c>
      <c r="AG55" s="79" t="s">
        <v>310</v>
      </c>
      <c r="AH55" s="79" t="s">
        <v>310</v>
      </c>
      <c r="AI55" s="79" t="s">
        <v>203</v>
      </c>
      <c r="AJ55" s="79" t="s">
        <v>203</v>
      </c>
      <c r="AK55" s="79" t="s">
        <v>203</v>
      </c>
      <c r="AL55" s="79" t="s">
        <v>203</v>
      </c>
      <c r="AM55" s="79" t="s">
        <v>203</v>
      </c>
      <c r="AN55" s="79" t="s">
        <v>203</v>
      </c>
      <c r="AO55" s="79" t="s">
        <v>310</v>
      </c>
      <c r="AP55" s="79" t="s">
        <v>310</v>
      </c>
      <c r="AQ55" s="79" t="s">
        <v>310</v>
      </c>
      <c r="AR55" s="79" t="s">
        <v>310</v>
      </c>
      <c r="AS55" s="79" t="s">
        <v>203</v>
      </c>
      <c r="AT55" s="79" t="s">
        <v>310</v>
      </c>
      <c r="AU55" s="79" t="s">
        <v>310</v>
      </c>
      <c r="AV55" s="79" t="s">
        <v>310</v>
      </c>
      <c r="AW55" s="79" t="s">
        <v>310</v>
      </c>
      <c r="AX55" s="79" t="s">
        <v>310</v>
      </c>
      <c r="AY55" s="79" t="s">
        <v>310</v>
      </c>
      <c r="AZ55" s="79" t="s">
        <v>310</v>
      </c>
      <c r="BA55" s="79" t="s">
        <v>310</v>
      </c>
      <c r="BB55" s="79" t="s">
        <v>310</v>
      </c>
      <c r="BC55" s="79" t="s">
        <v>310</v>
      </c>
      <c r="BD55" s="79" t="s">
        <v>310</v>
      </c>
      <c r="BE55" s="79" t="s">
        <v>310</v>
      </c>
      <c r="BF55" s="79" t="s">
        <v>310</v>
      </c>
      <c r="BG55" s="79" t="s">
        <v>310</v>
      </c>
      <c r="BH55" s="79" t="s">
        <v>310</v>
      </c>
      <c r="BI55" s="79" t="s">
        <v>310</v>
      </c>
      <c r="BJ55" s="79" t="s">
        <v>310</v>
      </c>
    </row>
    <row r="56" spans="1:62" s="85" customFormat="1" x14ac:dyDescent="0.3">
      <c r="A56" s="43">
        <v>304002</v>
      </c>
      <c r="B56" s="44" t="s">
        <v>424</v>
      </c>
      <c r="C56" s="44" t="s">
        <v>425</v>
      </c>
      <c r="D56" s="44" t="str">
        <f t="shared" si="3"/>
        <v>304002_Materials for education department</v>
      </c>
      <c r="E56" s="81">
        <v>300000</v>
      </c>
      <c r="F56" s="81" t="s">
        <v>215</v>
      </c>
      <c r="G56" s="44" t="s">
        <v>198</v>
      </c>
      <c r="H56" s="44" t="str">
        <f t="shared" si="1"/>
        <v>300000_Supplies and utilities</v>
      </c>
      <c r="I56" s="81">
        <v>304000</v>
      </c>
      <c r="J56" s="81" t="s">
        <v>219</v>
      </c>
      <c r="K56" s="44" t="s">
        <v>423</v>
      </c>
      <c r="L56" s="44" t="str">
        <f t="shared" si="2"/>
        <v>304000_Materials purchase</v>
      </c>
      <c r="M56" s="82" t="s">
        <v>308</v>
      </c>
      <c r="N56" s="83" t="s">
        <v>203</v>
      </c>
      <c r="O56" s="84" t="s">
        <v>203</v>
      </c>
      <c r="P56" s="84" t="s">
        <v>203</v>
      </c>
      <c r="Q56" s="84" t="s">
        <v>203</v>
      </c>
      <c r="R56" s="84" t="s">
        <v>203</v>
      </c>
      <c r="S56" s="84" t="s">
        <v>203</v>
      </c>
      <c r="T56" s="84" t="s">
        <v>203</v>
      </c>
      <c r="U56" s="84" t="s">
        <v>203</v>
      </c>
      <c r="V56" s="84" t="s">
        <v>203</v>
      </c>
      <c r="W56" s="84" t="s">
        <v>203</v>
      </c>
      <c r="X56" s="84" t="s">
        <v>203</v>
      </c>
      <c r="Y56" s="84" t="s">
        <v>203</v>
      </c>
      <c r="Z56" s="84" t="s">
        <v>203</v>
      </c>
      <c r="AA56" s="84" t="s">
        <v>203</v>
      </c>
      <c r="AB56" s="84" t="s">
        <v>203</v>
      </c>
      <c r="AC56" s="84" t="s">
        <v>203</v>
      </c>
      <c r="AD56" s="84" t="s">
        <v>203</v>
      </c>
      <c r="AE56" s="84" t="s">
        <v>203</v>
      </c>
      <c r="AF56" s="84" t="s">
        <v>203</v>
      </c>
      <c r="AG56" s="84" t="s">
        <v>203</v>
      </c>
      <c r="AH56" s="84" t="s">
        <v>203</v>
      </c>
      <c r="AI56" s="84" t="s">
        <v>203</v>
      </c>
      <c r="AJ56" s="84" t="s">
        <v>203</v>
      </c>
      <c r="AK56" s="84" t="s">
        <v>203</v>
      </c>
      <c r="AL56" s="84" t="s">
        <v>203</v>
      </c>
      <c r="AM56" s="84" t="s">
        <v>203</v>
      </c>
      <c r="AN56" s="84" t="s">
        <v>203</v>
      </c>
      <c r="AO56" s="84" t="s">
        <v>310</v>
      </c>
      <c r="AP56" s="84" t="s">
        <v>310</v>
      </c>
      <c r="AQ56" s="84" t="s">
        <v>310</v>
      </c>
      <c r="AR56" s="84" t="s">
        <v>310</v>
      </c>
      <c r="AS56" s="84" t="s">
        <v>203</v>
      </c>
      <c r="AT56" s="84" t="s">
        <v>203</v>
      </c>
      <c r="AU56" s="84" t="s">
        <v>203</v>
      </c>
      <c r="AV56" s="84" t="s">
        <v>203</v>
      </c>
      <c r="AW56" s="84" t="s">
        <v>203</v>
      </c>
      <c r="AX56" s="84" t="s">
        <v>203</v>
      </c>
      <c r="AY56" s="84" t="s">
        <v>203</v>
      </c>
      <c r="AZ56" s="84" t="s">
        <v>203</v>
      </c>
      <c r="BA56" s="84" t="s">
        <v>203</v>
      </c>
      <c r="BB56" s="84" t="s">
        <v>203</v>
      </c>
      <c r="BC56" s="84" t="s">
        <v>203</v>
      </c>
      <c r="BD56" s="84" t="s">
        <v>203</v>
      </c>
      <c r="BE56" s="84" t="s">
        <v>203</v>
      </c>
      <c r="BF56" s="84" t="s">
        <v>203</v>
      </c>
      <c r="BG56" s="84" t="s">
        <v>203</v>
      </c>
      <c r="BH56" s="84" t="s">
        <v>203</v>
      </c>
      <c r="BI56" s="84" t="s">
        <v>203</v>
      </c>
      <c r="BJ56" s="84" t="s">
        <v>203</v>
      </c>
    </row>
    <row r="57" spans="1:62" s="80" customFormat="1" x14ac:dyDescent="0.3">
      <c r="A57" s="45">
        <v>304003</v>
      </c>
      <c r="B57" s="46" t="s">
        <v>426</v>
      </c>
      <c r="C57" s="46" t="s">
        <v>427</v>
      </c>
      <c r="D57" s="46" t="str">
        <f t="shared" si="3"/>
        <v>304003_Stationery and other office consumables</v>
      </c>
      <c r="E57" s="76">
        <v>300000</v>
      </c>
      <c r="F57" s="76" t="s">
        <v>215</v>
      </c>
      <c r="G57" s="76" t="s">
        <v>198</v>
      </c>
      <c r="H57" s="77" t="str">
        <f t="shared" si="1"/>
        <v>300000_Supplies and utilities</v>
      </c>
      <c r="I57" s="76">
        <v>304000</v>
      </c>
      <c r="J57" s="76" t="s">
        <v>219</v>
      </c>
      <c r="K57" s="76" t="s">
        <v>423</v>
      </c>
      <c r="L57" s="77" t="str">
        <f t="shared" si="2"/>
        <v>304000_Materials purchase</v>
      </c>
      <c r="M57" s="76" t="s">
        <v>308</v>
      </c>
      <c r="N57" s="78" t="s">
        <v>203</v>
      </c>
      <c r="O57" s="79" t="s">
        <v>203</v>
      </c>
      <c r="P57" s="79" t="s">
        <v>203</v>
      </c>
      <c r="Q57" s="79" t="s">
        <v>203</v>
      </c>
      <c r="R57" s="79" t="s">
        <v>203</v>
      </c>
      <c r="S57" s="79" t="s">
        <v>203</v>
      </c>
      <c r="T57" s="79" t="s">
        <v>203</v>
      </c>
      <c r="U57" s="79" t="s">
        <v>203</v>
      </c>
      <c r="V57" s="79" t="s">
        <v>203</v>
      </c>
      <c r="W57" s="79" t="s">
        <v>203</v>
      </c>
      <c r="X57" s="79" t="s">
        <v>203</v>
      </c>
      <c r="Y57" s="79" t="s">
        <v>203</v>
      </c>
      <c r="Z57" s="79" t="s">
        <v>203</v>
      </c>
      <c r="AA57" s="79" t="s">
        <v>203</v>
      </c>
      <c r="AB57" s="79" t="s">
        <v>203</v>
      </c>
      <c r="AC57" s="79" t="s">
        <v>203</v>
      </c>
      <c r="AD57" s="79" t="s">
        <v>310</v>
      </c>
      <c r="AE57" s="79" t="s">
        <v>310</v>
      </c>
      <c r="AF57" s="79" t="s">
        <v>310</v>
      </c>
      <c r="AG57" s="79" t="s">
        <v>310</v>
      </c>
      <c r="AH57" s="79" t="s">
        <v>310</v>
      </c>
      <c r="AI57" s="79" t="s">
        <v>310</v>
      </c>
      <c r="AJ57" s="79" t="s">
        <v>310</v>
      </c>
      <c r="AK57" s="79" t="s">
        <v>203</v>
      </c>
      <c r="AL57" s="79" t="s">
        <v>203</v>
      </c>
      <c r="AM57" s="79" t="s">
        <v>203</v>
      </c>
      <c r="AN57" s="79" t="s">
        <v>203</v>
      </c>
      <c r="AO57" s="79" t="s">
        <v>310</v>
      </c>
      <c r="AP57" s="79" t="s">
        <v>310</v>
      </c>
      <c r="AQ57" s="79" t="s">
        <v>310</v>
      </c>
      <c r="AR57" s="79" t="s">
        <v>310</v>
      </c>
      <c r="AS57" s="79" t="s">
        <v>203</v>
      </c>
      <c r="AT57" s="79" t="s">
        <v>310</v>
      </c>
      <c r="AU57" s="79" t="s">
        <v>310</v>
      </c>
      <c r="AV57" s="79" t="s">
        <v>310</v>
      </c>
      <c r="AW57" s="79" t="s">
        <v>310</v>
      </c>
      <c r="AX57" s="79" t="s">
        <v>310</v>
      </c>
      <c r="AY57" s="79" t="s">
        <v>310</v>
      </c>
      <c r="AZ57" s="79" t="s">
        <v>310</v>
      </c>
      <c r="BA57" s="79" t="s">
        <v>310</v>
      </c>
      <c r="BB57" s="79" t="s">
        <v>310</v>
      </c>
      <c r="BC57" s="79" t="s">
        <v>310</v>
      </c>
      <c r="BD57" s="79" t="s">
        <v>310</v>
      </c>
      <c r="BE57" s="79" t="s">
        <v>310</v>
      </c>
      <c r="BF57" s="79" t="s">
        <v>310</v>
      </c>
      <c r="BG57" s="79" t="s">
        <v>310</v>
      </c>
      <c r="BH57" s="79" t="s">
        <v>310</v>
      </c>
      <c r="BI57" s="79" t="s">
        <v>310</v>
      </c>
      <c r="BJ57" s="79" t="s">
        <v>310</v>
      </c>
    </row>
    <row r="58" spans="1:62" s="85" customFormat="1" x14ac:dyDescent="0.3">
      <c r="A58" s="43">
        <v>304006</v>
      </c>
      <c r="B58" s="44" t="s">
        <v>428</v>
      </c>
      <c r="C58" s="44" t="s">
        <v>429</v>
      </c>
      <c r="D58" s="44" t="str">
        <f t="shared" si="3"/>
        <v>304006_Materials for vehicles</v>
      </c>
      <c r="E58" s="81">
        <v>300000</v>
      </c>
      <c r="F58" s="81" t="s">
        <v>215</v>
      </c>
      <c r="G58" s="44" t="s">
        <v>198</v>
      </c>
      <c r="H58" s="44" t="str">
        <f t="shared" si="1"/>
        <v>300000_Supplies and utilities</v>
      </c>
      <c r="I58" s="81">
        <v>304000</v>
      </c>
      <c r="J58" s="81" t="s">
        <v>219</v>
      </c>
      <c r="K58" s="44" t="s">
        <v>423</v>
      </c>
      <c r="L58" s="44" t="str">
        <f t="shared" si="2"/>
        <v>304000_Materials purchase</v>
      </c>
      <c r="M58" s="82" t="s">
        <v>308</v>
      </c>
      <c r="N58" s="83" t="s">
        <v>203</v>
      </c>
      <c r="O58" s="84" t="s">
        <v>203</v>
      </c>
      <c r="P58" s="84" t="s">
        <v>203</v>
      </c>
      <c r="Q58" s="84" t="s">
        <v>203</v>
      </c>
      <c r="R58" s="84" t="s">
        <v>203</v>
      </c>
      <c r="S58" s="84" t="s">
        <v>203</v>
      </c>
      <c r="T58" s="84" t="s">
        <v>203</v>
      </c>
      <c r="U58" s="84" t="s">
        <v>203</v>
      </c>
      <c r="V58" s="84" t="s">
        <v>203</v>
      </c>
      <c r="W58" s="84" t="s">
        <v>203</v>
      </c>
      <c r="X58" s="84" t="s">
        <v>203</v>
      </c>
      <c r="Y58" s="84" t="s">
        <v>203</v>
      </c>
      <c r="Z58" s="84" t="s">
        <v>203</v>
      </c>
      <c r="AA58" s="84" t="s">
        <v>203</v>
      </c>
      <c r="AB58" s="84" t="s">
        <v>203</v>
      </c>
      <c r="AC58" s="84" t="s">
        <v>203</v>
      </c>
      <c r="AD58" s="84" t="s">
        <v>310</v>
      </c>
      <c r="AE58" s="84" t="s">
        <v>310</v>
      </c>
      <c r="AF58" s="84" t="s">
        <v>310</v>
      </c>
      <c r="AG58" s="84" t="s">
        <v>310</v>
      </c>
      <c r="AH58" s="84" t="s">
        <v>310</v>
      </c>
      <c r="AI58" s="84" t="s">
        <v>310</v>
      </c>
      <c r="AJ58" s="84" t="s">
        <v>203</v>
      </c>
      <c r="AK58" s="84" t="s">
        <v>203</v>
      </c>
      <c r="AL58" s="84" t="s">
        <v>203</v>
      </c>
      <c r="AM58" s="84" t="s">
        <v>203</v>
      </c>
      <c r="AN58" s="84" t="s">
        <v>203</v>
      </c>
      <c r="AO58" s="84" t="s">
        <v>203</v>
      </c>
      <c r="AP58" s="84" t="s">
        <v>203</v>
      </c>
      <c r="AQ58" s="84" t="s">
        <v>203</v>
      </c>
      <c r="AR58" s="84" t="s">
        <v>203</v>
      </c>
      <c r="AS58" s="84" t="s">
        <v>203</v>
      </c>
      <c r="AT58" s="84" t="s">
        <v>203</v>
      </c>
      <c r="AU58" s="84" t="s">
        <v>203</v>
      </c>
      <c r="AV58" s="84" t="s">
        <v>203</v>
      </c>
      <c r="AW58" s="84" t="s">
        <v>203</v>
      </c>
      <c r="AX58" s="84" t="s">
        <v>203</v>
      </c>
      <c r="AY58" s="84" t="s">
        <v>203</v>
      </c>
      <c r="AZ58" s="84" t="s">
        <v>203</v>
      </c>
      <c r="BA58" s="84" t="s">
        <v>203</v>
      </c>
      <c r="BB58" s="84" t="s">
        <v>203</v>
      </c>
      <c r="BC58" s="84" t="s">
        <v>203</v>
      </c>
      <c r="BD58" s="84" t="s">
        <v>203</v>
      </c>
      <c r="BE58" s="84" t="s">
        <v>203</v>
      </c>
      <c r="BF58" s="84" t="s">
        <v>203</v>
      </c>
      <c r="BG58" s="84" t="s">
        <v>203</v>
      </c>
      <c r="BH58" s="84" t="s">
        <v>203</v>
      </c>
      <c r="BI58" s="84" t="s">
        <v>203</v>
      </c>
      <c r="BJ58" s="84" t="s">
        <v>203</v>
      </c>
    </row>
    <row r="59" spans="1:62" s="80" customFormat="1" x14ac:dyDescent="0.3">
      <c r="A59" s="45">
        <v>304007</v>
      </c>
      <c r="B59" s="46" t="s">
        <v>430</v>
      </c>
      <c r="C59" s="46" t="s">
        <v>431</v>
      </c>
      <c r="D59" s="46" t="str">
        <f t="shared" si="3"/>
        <v>304007_Materials for IT</v>
      </c>
      <c r="E59" s="76">
        <v>300000</v>
      </c>
      <c r="F59" s="76" t="s">
        <v>215</v>
      </c>
      <c r="G59" s="76" t="s">
        <v>198</v>
      </c>
      <c r="H59" s="77" t="str">
        <f t="shared" si="1"/>
        <v>300000_Supplies and utilities</v>
      </c>
      <c r="I59" s="76">
        <v>304000</v>
      </c>
      <c r="J59" s="76" t="s">
        <v>219</v>
      </c>
      <c r="K59" s="76" t="s">
        <v>423</v>
      </c>
      <c r="L59" s="77" t="str">
        <f t="shared" si="2"/>
        <v>304000_Materials purchase</v>
      </c>
      <c r="M59" s="76" t="s">
        <v>308</v>
      </c>
      <c r="N59" s="78"/>
      <c r="O59" s="79" t="s">
        <v>310</v>
      </c>
      <c r="P59" s="79" t="s">
        <v>310</v>
      </c>
      <c r="Q59" s="79" t="s">
        <v>310</v>
      </c>
      <c r="R59" s="79" t="s">
        <v>310</v>
      </c>
      <c r="S59" s="79" t="s">
        <v>310</v>
      </c>
      <c r="T59" s="79" t="s">
        <v>310</v>
      </c>
      <c r="U59" s="79" t="s">
        <v>310</v>
      </c>
      <c r="V59" s="79" t="s">
        <v>310</v>
      </c>
      <c r="W59" s="79" t="s">
        <v>310</v>
      </c>
      <c r="X59" s="79" t="s">
        <v>310</v>
      </c>
      <c r="Y59" s="79" t="s">
        <v>310</v>
      </c>
      <c r="Z59" s="79" t="s">
        <v>310</v>
      </c>
      <c r="AA59" s="79" t="s">
        <v>310</v>
      </c>
      <c r="AB59" s="79" t="s">
        <v>310</v>
      </c>
      <c r="AC59" s="79" t="s">
        <v>310</v>
      </c>
      <c r="AD59" s="79" t="s">
        <v>310</v>
      </c>
      <c r="AE59" s="79" t="s">
        <v>310</v>
      </c>
      <c r="AF59" s="79" t="s">
        <v>310</v>
      </c>
      <c r="AG59" s="79" t="s">
        <v>310</v>
      </c>
      <c r="AH59" s="79" t="s">
        <v>310</v>
      </c>
      <c r="AI59" s="79" t="s">
        <v>310</v>
      </c>
      <c r="AJ59" s="79" t="s">
        <v>310</v>
      </c>
      <c r="AK59" s="79" t="s">
        <v>310</v>
      </c>
      <c r="AL59" s="79" t="s">
        <v>310</v>
      </c>
      <c r="AM59" s="79" t="s">
        <v>310</v>
      </c>
      <c r="AN59" s="79" t="s">
        <v>310</v>
      </c>
      <c r="AO59" s="79" t="s">
        <v>310</v>
      </c>
      <c r="AP59" s="79" t="s">
        <v>310</v>
      </c>
      <c r="AQ59" s="79" t="s">
        <v>310</v>
      </c>
      <c r="AR59" s="79" t="s">
        <v>310</v>
      </c>
      <c r="AS59" s="79" t="s">
        <v>310</v>
      </c>
      <c r="AT59" s="79" t="s">
        <v>310</v>
      </c>
      <c r="AU59" s="79" t="s">
        <v>310</v>
      </c>
      <c r="AV59" s="79" t="s">
        <v>310</v>
      </c>
      <c r="AW59" s="79" t="s">
        <v>310</v>
      </c>
      <c r="AX59" s="79" t="s">
        <v>310</v>
      </c>
      <c r="AY59" s="79" t="s">
        <v>310</v>
      </c>
      <c r="AZ59" s="79" t="s">
        <v>310</v>
      </c>
      <c r="BA59" s="79" t="s">
        <v>310</v>
      </c>
      <c r="BB59" s="79" t="s">
        <v>310</v>
      </c>
      <c r="BC59" s="79" t="s">
        <v>310</v>
      </c>
      <c r="BD59" s="79" t="s">
        <v>310</v>
      </c>
      <c r="BE59" s="79" t="s">
        <v>310</v>
      </c>
      <c r="BF59" s="79" t="s">
        <v>310</v>
      </c>
      <c r="BG59" s="79" t="s">
        <v>310</v>
      </c>
      <c r="BH59" s="79" t="s">
        <v>310</v>
      </c>
      <c r="BI59" s="79" t="s">
        <v>310</v>
      </c>
      <c r="BJ59" s="79" t="s">
        <v>310</v>
      </c>
    </row>
    <row r="60" spans="1:62" s="85" customFormat="1" x14ac:dyDescent="0.3">
      <c r="A60" s="43">
        <v>304999</v>
      </c>
      <c r="B60" s="44" t="s">
        <v>220</v>
      </c>
      <c r="C60" s="44" t="s">
        <v>432</v>
      </c>
      <c r="D60" s="44" t="str">
        <f t="shared" si="3"/>
        <v>304999_Materials - other</v>
      </c>
      <c r="E60" s="81">
        <v>300000</v>
      </c>
      <c r="F60" s="81" t="s">
        <v>215</v>
      </c>
      <c r="G60" s="44" t="s">
        <v>198</v>
      </c>
      <c r="H60" s="44" t="str">
        <f t="shared" si="1"/>
        <v>300000_Supplies and utilities</v>
      </c>
      <c r="I60" s="81">
        <v>304000</v>
      </c>
      <c r="J60" s="81" t="s">
        <v>219</v>
      </c>
      <c r="K60" s="44" t="s">
        <v>423</v>
      </c>
      <c r="L60" s="44" t="str">
        <f t="shared" si="2"/>
        <v>304000_Materials purchase</v>
      </c>
      <c r="M60" s="82" t="s">
        <v>308</v>
      </c>
      <c r="N60" s="83" t="s">
        <v>203</v>
      </c>
      <c r="O60" s="84" t="s">
        <v>310</v>
      </c>
      <c r="P60" s="84" t="s">
        <v>310</v>
      </c>
      <c r="Q60" s="84" t="s">
        <v>310</v>
      </c>
      <c r="R60" s="84" t="s">
        <v>310</v>
      </c>
      <c r="S60" s="84" t="s">
        <v>310</v>
      </c>
      <c r="T60" s="84" t="s">
        <v>310</v>
      </c>
      <c r="U60" s="84" t="s">
        <v>310</v>
      </c>
      <c r="V60" s="84" t="s">
        <v>310</v>
      </c>
      <c r="W60" s="84" t="s">
        <v>310</v>
      </c>
      <c r="X60" s="84" t="s">
        <v>310</v>
      </c>
      <c r="Y60" s="84" t="s">
        <v>310</v>
      </c>
      <c r="Z60" s="84" t="s">
        <v>310</v>
      </c>
      <c r="AA60" s="84" t="s">
        <v>310</v>
      </c>
      <c r="AB60" s="84" t="s">
        <v>310</v>
      </c>
      <c r="AC60" s="84" t="s">
        <v>310</v>
      </c>
      <c r="AD60" s="84" t="s">
        <v>310</v>
      </c>
      <c r="AE60" s="84" t="s">
        <v>310</v>
      </c>
      <c r="AF60" s="84" t="s">
        <v>310</v>
      </c>
      <c r="AG60" s="84" t="s">
        <v>310</v>
      </c>
      <c r="AH60" s="84" t="s">
        <v>310</v>
      </c>
      <c r="AI60" s="84" t="s">
        <v>310</v>
      </c>
      <c r="AJ60" s="84" t="s">
        <v>310</v>
      </c>
      <c r="AK60" s="84" t="s">
        <v>310</v>
      </c>
      <c r="AL60" s="84" t="s">
        <v>310</v>
      </c>
      <c r="AM60" s="84" t="s">
        <v>310</v>
      </c>
      <c r="AN60" s="84" t="s">
        <v>310</v>
      </c>
      <c r="AO60" s="84" t="s">
        <v>310</v>
      </c>
      <c r="AP60" s="84" t="s">
        <v>310</v>
      </c>
      <c r="AQ60" s="84" t="s">
        <v>310</v>
      </c>
      <c r="AR60" s="84" t="s">
        <v>310</v>
      </c>
      <c r="AS60" s="84" t="s">
        <v>310</v>
      </c>
      <c r="AT60" s="84" t="s">
        <v>310</v>
      </c>
      <c r="AU60" s="84" t="s">
        <v>310</v>
      </c>
      <c r="AV60" s="84" t="s">
        <v>310</v>
      </c>
      <c r="AW60" s="84" t="s">
        <v>310</v>
      </c>
      <c r="AX60" s="84" t="s">
        <v>310</v>
      </c>
      <c r="AY60" s="84" t="s">
        <v>310</v>
      </c>
      <c r="AZ60" s="84" t="s">
        <v>310</v>
      </c>
      <c r="BA60" s="84" t="s">
        <v>310</v>
      </c>
      <c r="BB60" s="84" t="s">
        <v>310</v>
      </c>
      <c r="BC60" s="84" t="s">
        <v>310</v>
      </c>
      <c r="BD60" s="84" t="s">
        <v>310</v>
      </c>
      <c r="BE60" s="84" t="s">
        <v>310</v>
      </c>
      <c r="BF60" s="84" t="s">
        <v>310</v>
      </c>
      <c r="BG60" s="84" t="s">
        <v>310</v>
      </c>
      <c r="BH60" s="84" t="s">
        <v>310</v>
      </c>
      <c r="BI60" s="84" t="s">
        <v>310</v>
      </c>
      <c r="BJ60" s="84" t="s">
        <v>310</v>
      </c>
    </row>
    <row r="61" spans="1:62" s="80" customFormat="1" x14ac:dyDescent="0.3">
      <c r="A61" s="45">
        <v>305001</v>
      </c>
      <c r="B61" s="46" t="s">
        <v>26</v>
      </c>
      <c r="C61" s="46" t="s">
        <v>433</v>
      </c>
      <c r="D61" s="46" t="str">
        <f t="shared" si="3"/>
        <v>305001_Rent - laboratory premises</v>
      </c>
      <c r="E61" s="76">
        <v>300000</v>
      </c>
      <c r="F61" s="76" t="s">
        <v>215</v>
      </c>
      <c r="G61" s="76" t="s">
        <v>198</v>
      </c>
      <c r="H61" s="77" t="str">
        <f t="shared" si="1"/>
        <v>300000_Supplies and utilities</v>
      </c>
      <c r="I61" s="76">
        <v>305000</v>
      </c>
      <c r="J61" s="76" t="s">
        <v>434</v>
      </c>
      <c r="K61" s="76" t="s">
        <v>435</v>
      </c>
      <c r="L61" s="77" t="str">
        <f t="shared" si="2"/>
        <v>305000_Rent operating/finance</v>
      </c>
      <c r="M61" s="76" t="s">
        <v>308</v>
      </c>
      <c r="N61" s="78" t="s">
        <v>436</v>
      </c>
      <c r="O61" s="79" t="s">
        <v>203</v>
      </c>
      <c r="P61" s="79" t="s">
        <v>203</v>
      </c>
      <c r="Q61" s="79" t="s">
        <v>203</v>
      </c>
      <c r="R61" s="79" t="s">
        <v>203</v>
      </c>
      <c r="S61" s="79" t="s">
        <v>203</v>
      </c>
      <c r="T61" s="79" t="s">
        <v>203</v>
      </c>
      <c r="U61" s="79" t="s">
        <v>203</v>
      </c>
      <c r="V61" s="79" t="s">
        <v>203</v>
      </c>
      <c r="W61" s="79" t="s">
        <v>203</v>
      </c>
      <c r="X61" s="79" t="s">
        <v>203</v>
      </c>
      <c r="Y61" s="79" t="s">
        <v>203</v>
      </c>
      <c r="Z61" s="79" t="s">
        <v>203</v>
      </c>
      <c r="AA61" s="79" t="s">
        <v>203</v>
      </c>
      <c r="AB61" s="79" t="s">
        <v>203</v>
      </c>
      <c r="AC61" s="79" t="s">
        <v>203</v>
      </c>
      <c r="AD61" s="79" t="s">
        <v>310</v>
      </c>
      <c r="AE61" s="79" t="s">
        <v>310</v>
      </c>
      <c r="AF61" s="79" t="s">
        <v>310</v>
      </c>
      <c r="AG61" s="79" t="s">
        <v>310</v>
      </c>
      <c r="AH61" s="79" t="s">
        <v>310</v>
      </c>
      <c r="AI61" s="79" t="s">
        <v>203</v>
      </c>
      <c r="AJ61" s="79" t="s">
        <v>203</v>
      </c>
      <c r="AK61" s="79" t="s">
        <v>203</v>
      </c>
      <c r="AL61" s="79" t="s">
        <v>203</v>
      </c>
      <c r="AM61" s="79" t="s">
        <v>203</v>
      </c>
      <c r="AN61" s="79" t="s">
        <v>203</v>
      </c>
      <c r="AO61" s="79" t="s">
        <v>310</v>
      </c>
      <c r="AP61" s="79" t="s">
        <v>310</v>
      </c>
      <c r="AQ61" s="79" t="s">
        <v>310</v>
      </c>
      <c r="AR61" s="79" t="s">
        <v>310</v>
      </c>
      <c r="AS61" s="79" t="s">
        <v>203</v>
      </c>
      <c r="AT61" s="79" t="s">
        <v>310</v>
      </c>
      <c r="AU61" s="79" t="s">
        <v>310</v>
      </c>
      <c r="AV61" s="79" t="s">
        <v>310</v>
      </c>
      <c r="AW61" s="79" t="s">
        <v>310</v>
      </c>
      <c r="AX61" s="79" t="s">
        <v>310</v>
      </c>
      <c r="AY61" s="79" t="s">
        <v>310</v>
      </c>
      <c r="AZ61" s="79" t="s">
        <v>310</v>
      </c>
      <c r="BA61" s="79" t="s">
        <v>310</v>
      </c>
      <c r="BB61" s="79" t="s">
        <v>310</v>
      </c>
      <c r="BC61" s="79" t="s">
        <v>310</v>
      </c>
      <c r="BD61" s="79" t="s">
        <v>310</v>
      </c>
      <c r="BE61" s="79" t="s">
        <v>310</v>
      </c>
      <c r="BF61" s="79" t="s">
        <v>310</v>
      </c>
      <c r="BG61" s="79" t="s">
        <v>310</v>
      </c>
      <c r="BH61" s="79" t="s">
        <v>310</v>
      </c>
      <c r="BI61" s="79" t="s">
        <v>310</v>
      </c>
      <c r="BJ61" s="79" t="s">
        <v>310</v>
      </c>
    </row>
    <row r="62" spans="1:62" s="85" customFormat="1" x14ac:dyDescent="0.3">
      <c r="A62" s="43">
        <v>305002</v>
      </c>
      <c r="B62" s="44" t="s">
        <v>437</v>
      </c>
      <c r="C62" s="44" t="s">
        <v>438</v>
      </c>
      <c r="D62" s="44" t="str">
        <f t="shared" si="3"/>
        <v>305002_Rent - office premises</v>
      </c>
      <c r="E62" s="81">
        <v>300000</v>
      </c>
      <c r="F62" s="81" t="s">
        <v>215</v>
      </c>
      <c r="G62" s="44" t="s">
        <v>198</v>
      </c>
      <c r="H62" s="44" t="str">
        <f t="shared" si="1"/>
        <v>300000_Supplies and utilities</v>
      </c>
      <c r="I62" s="81">
        <v>305000</v>
      </c>
      <c r="J62" s="81" t="s">
        <v>434</v>
      </c>
      <c r="K62" s="44" t="s">
        <v>435</v>
      </c>
      <c r="L62" s="44" t="str">
        <f t="shared" si="2"/>
        <v>305000_Rent operating/finance</v>
      </c>
      <c r="M62" s="82" t="s">
        <v>308</v>
      </c>
      <c r="N62" s="83" t="s">
        <v>436</v>
      </c>
      <c r="O62" s="84" t="s">
        <v>203</v>
      </c>
      <c r="P62" s="84" t="s">
        <v>203</v>
      </c>
      <c r="Q62" s="84" t="s">
        <v>203</v>
      </c>
      <c r="R62" s="84" t="s">
        <v>203</v>
      </c>
      <c r="S62" s="84" t="s">
        <v>203</v>
      </c>
      <c r="T62" s="84" t="s">
        <v>203</v>
      </c>
      <c r="U62" s="84" t="s">
        <v>203</v>
      </c>
      <c r="V62" s="84" t="s">
        <v>203</v>
      </c>
      <c r="W62" s="84" t="s">
        <v>203</v>
      </c>
      <c r="X62" s="84" t="s">
        <v>203</v>
      </c>
      <c r="Y62" s="84" t="s">
        <v>203</v>
      </c>
      <c r="Z62" s="84" t="s">
        <v>203</v>
      </c>
      <c r="AA62" s="84" t="s">
        <v>203</v>
      </c>
      <c r="AB62" s="84" t="s">
        <v>203</v>
      </c>
      <c r="AC62" s="84" t="s">
        <v>203</v>
      </c>
      <c r="AD62" s="84" t="s">
        <v>310</v>
      </c>
      <c r="AE62" s="84" t="s">
        <v>310</v>
      </c>
      <c r="AF62" s="84" t="s">
        <v>310</v>
      </c>
      <c r="AG62" s="84" t="s">
        <v>310</v>
      </c>
      <c r="AH62" s="84" t="s">
        <v>310</v>
      </c>
      <c r="AI62" s="84" t="s">
        <v>203</v>
      </c>
      <c r="AJ62" s="84" t="s">
        <v>203</v>
      </c>
      <c r="AK62" s="84" t="s">
        <v>203</v>
      </c>
      <c r="AL62" s="84" t="s">
        <v>203</v>
      </c>
      <c r="AM62" s="84" t="s">
        <v>203</v>
      </c>
      <c r="AN62" s="84" t="s">
        <v>203</v>
      </c>
      <c r="AO62" s="84" t="s">
        <v>203</v>
      </c>
      <c r="AP62" s="84" t="s">
        <v>203</v>
      </c>
      <c r="AQ62" s="84" t="s">
        <v>203</v>
      </c>
      <c r="AR62" s="84" t="s">
        <v>203</v>
      </c>
      <c r="AS62" s="84" t="s">
        <v>203</v>
      </c>
      <c r="AT62" s="84" t="s">
        <v>203</v>
      </c>
      <c r="AU62" s="84" t="s">
        <v>203</v>
      </c>
      <c r="AV62" s="84" t="s">
        <v>203</v>
      </c>
      <c r="AW62" s="84" t="s">
        <v>203</v>
      </c>
      <c r="AX62" s="84" t="s">
        <v>203</v>
      </c>
      <c r="AY62" s="84" t="s">
        <v>203</v>
      </c>
      <c r="AZ62" s="84" t="s">
        <v>203</v>
      </c>
      <c r="BA62" s="84" t="s">
        <v>203</v>
      </c>
      <c r="BB62" s="84" t="s">
        <v>203</v>
      </c>
      <c r="BC62" s="84" t="s">
        <v>203</v>
      </c>
      <c r="BD62" s="84" t="s">
        <v>203</v>
      </c>
      <c r="BE62" s="84" t="s">
        <v>203</v>
      </c>
      <c r="BF62" s="84" t="s">
        <v>203</v>
      </c>
      <c r="BG62" s="84" t="s">
        <v>203</v>
      </c>
      <c r="BH62" s="84" t="s">
        <v>203</v>
      </c>
      <c r="BI62" s="84" t="s">
        <v>203</v>
      </c>
      <c r="BJ62" s="84" t="s">
        <v>203</v>
      </c>
    </row>
    <row r="63" spans="1:62" s="80" customFormat="1" x14ac:dyDescent="0.3">
      <c r="A63" s="45">
        <v>305003</v>
      </c>
      <c r="B63" s="46" t="s">
        <v>439</v>
      </c>
      <c r="C63" s="46" t="s">
        <v>440</v>
      </c>
      <c r="D63" s="46" t="str">
        <f t="shared" si="3"/>
        <v>305003_Rent - vehicle</v>
      </c>
      <c r="E63" s="76">
        <v>300000</v>
      </c>
      <c r="F63" s="76" t="s">
        <v>215</v>
      </c>
      <c r="G63" s="76" t="s">
        <v>198</v>
      </c>
      <c r="H63" s="77" t="str">
        <f t="shared" si="1"/>
        <v>300000_Supplies and utilities</v>
      </c>
      <c r="I63" s="76">
        <v>305000</v>
      </c>
      <c r="J63" s="76" t="s">
        <v>434</v>
      </c>
      <c r="K63" s="76" t="s">
        <v>435</v>
      </c>
      <c r="L63" s="77" t="str">
        <f t="shared" si="2"/>
        <v>305000_Rent operating/finance</v>
      </c>
      <c r="M63" s="76" t="s">
        <v>308</v>
      </c>
      <c r="N63" s="78" t="s">
        <v>436</v>
      </c>
      <c r="O63" s="79" t="s">
        <v>203</v>
      </c>
      <c r="P63" s="79" t="s">
        <v>203</v>
      </c>
      <c r="Q63" s="79" t="s">
        <v>203</v>
      </c>
      <c r="R63" s="79" t="s">
        <v>203</v>
      </c>
      <c r="S63" s="79" t="s">
        <v>203</v>
      </c>
      <c r="T63" s="79" t="s">
        <v>203</v>
      </c>
      <c r="U63" s="79" t="s">
        <v>203</v>
      </c>
      <c r="V63" s="79" t="s">
        <v>203</v>
      </c>
      <c r="W63" s="79" t="s">
        <v>203</v>
      </c>
      <c r="X63" s="79" t="s">
        <v>203</v>
      </c>
      <c r="Y63" s="79" t="s">
        <v>203</v>
      </c>
      <c r="Z63" s="79" t="s">
        <v>203</v>
      </c>
      <c r="AA63" s="79" t="s">
        <v>203</v>
      </c>
      <c r="AB63" s="79" t="s">
        <v>203</v>
      </c>
      <c r="AC63" s="79" t="s">
        <v>203</v>
      </c>
      <c r="AD63" s="79" t="s">
        <v>310</v>
      </c>
      <c r="AE63" s="79" t="s">
        <v>310</v>
      </c>
      <c r="AF63" s="79" t="s">
        <v>310</v>
      </c>
      <c r="AG63" s="79" t="s">
        <v>310</v>
      </c>
      <c r="AH63" s="79" t="s">
        <v>310</v>
      </c>
      <c r="AI63" s="79" t="s">
        <v>310</v>
      </c>
      <c r="AJ63" s="79" t="s">
        <v>203</v>
      </c>
      <c r="AK63" s="79" t="s">
        <v>203</v>
      </c>
      <c r="AL63" s="79" t="s">
        <v>203</v>
      </c>
      <c r="AM63" s="79" t="s">
        <v>203</v>
      </c>
      <c r="AN63" s="79" t="s">
        <v>203</v>
      </c>
      <c r="AO63" s="79" t="s">
        <v>203</v>
      </c>
      <c r="AP63" s="79" t="s">
        <v>203</v>
      </c>
      <c r="AQ63" s="79" t="s">
        <v>203</v>
      </c>
      <c r="AR63" s="79" t="s">
        <v>203</v>
      </c>
      <c r="AS63" s="79" t="s">
        <v>203</v>
      </c>
      <c r="AT63" s="79" t="s">
        <v>203</v>
      </c>
      <c r="AU63" s="79" t="s">
        <v>203</v>
      </c>
      <c r="AV63" s="79" t="s">
        <v>203</v>
      </c>
      <c r="AW63" s="79" t="s">
        <v>203</v>
      </c>
      <c r="AX63" s="79" t="s">
        <v>203</v>
      </c>
      <c r="AY63" s="79" t="s">
        <v>203</v>
      </c>
      <c r="AZ63" s="79" t="s">
        <v>203</v>
      </c>
      <c r="BA63" s="79" t="s">
        <v>203</v>
      </c>
      <c r="BB63" s="79" t="s">
        <v>203</v>
      </c>
      <c r="BC63" s="79" t="s">
        <v>203</v>
      </c>
      <c r="BD63" s="79" t="s">
        <v>203</v>
      </c>
      <c r="BE63" s="79" t="s">
        <v>203</v>
      </c>
      <c r="BF63" s="79" t="s">
        <v>203</v>
      </c>
      <c r="BG63" s="79" t="s">
        <v>203</v>
      </c>
      <c r="BH63" s="79" t="s">
        <v>203</v>
      </c>
      <c r="BI63" s="79" t="s">
        <v>203</v>
      </c>
      <c r="BJ63" s="79" t="s">
        <v>203</v>
      </c>
    </row>
    <row r="64" spans="1:62" s="85" customFormat="1" x14ac:dyDescent="0.3">
      <c r="A64" s="43">
        <v>305004</v>
      </c>
      <c r="B64" s="44" t="s">
        <v>441</v>
      </c>
      <c r="C64" s="44" t="s">
        <v>442</v>
      </c>
      <c r="D64" s="44" t="str">
        <f t="shared" si="3"/>
        <v>305004_Rent - research equipment</v>
      </c>
      <c r="E64" s="81">
        <v>300000</v>
      </c>
      <c r="F64" s="81" t="s">
        <v>215</v>
      </c>
      <c r="G64" s="44" t="s">
        <v>198</v>
      </c>
      <c r="H64" s="44" t="str">
        <f t="shared" si="1"/>
        <v>300000_Supplies and utilities</v>
      </c>
      <c r="I64" s="81">
        <v>305000</v>
      </c>
      <c r="J64" s="81" t="s">
        <v>434</v>
      </c>
      <c r="K64" s="44" t="s">
        <v>435</v>
      </c>
      <c r="L64" s="44" t="str">
        <f t="shared" si="2"/>
        <v>305000_Rent operating/finance</v>
      </c>
      <c r="M64" s="82" t="s">
        <v>308</v>
      </c>
      <c r="N64" s="83" t="s">
        <v>436</v>
      </c>
      <c r="O64" s="84" t="s">
        <v>203</v>
      </c>
      <c r="P64" s="84" t="s">
        <v>203</v>
      </c>
      <c r="Q64" s="84" t="s">
        <v>203</v>
      </c>
      <c r="R64" s="84" t="s">
        <v>203</v>
      </c>
      <c r="S64" s="84" t="s">
        <v>203</v>
      </c>
      <c r="T64" s="84" t="s">
        <v>203</v>
      </c>
      <c r="U64" s="84" t="s">
        <v>203</v>
      </c>
      <c r="V64" s="84" t="s">
        <v>203</v>
      </c>
      <c r="W64" s="84" t="s">
        <v>203</v>
      </c>
      <c r="X64" s="84" t="s">
        <v>203</v>
      </c>
      <c r="Y64" s="84" t="s">
        <v>203</v>
      </c>
      <c r="Z64" s="84" t="s">
        <v>203</v>
      </c>
      <c r="AA64" s="84" t="s">
        <v>203</v>
      </c>
      <c r="AB64" s="84" t="s">
        <v>203</v>
      </c>
      <c r="AC64" s="84" t="s">
        <v>203</v>
      </c>
      <c r="AD64" s="84" t="s">
        <v>310</v>
      </c>
      <c r="AE64" s="84" t="s">
        <v>310</v>
      </c>
      <c r="AF64" s="84" t="s">
        <v>310</v>
      </c>
      <c r="AG64" s="84" t="s">
        <v>310</v>
      </c>
      <c r="AH64" s="84" t="s">
        <v>310</v>
      </c>
      <c r="AI64" s="84" t="s">
        <v>203</v>
      </c>
      <c r="AJ64" s="84" t="s">
        <v>203</v>
      </c>
      <c r="AK64" s="84" t="s">
        <v>203</v>
      </c>
      <c r="AL64" s="84" t="s">
        <v>203</v>
      </c>
      <c r="AM64" s="84" t="s">
        <v>203</v>
      </c>
      <c r="AN64" s="84" t="s">
        <v>203</v>
      </c>
      <c r="AO64" s="84" t="s">
        <v>310</v>
      </c>
      <c r="AP64" s="84" t="s">
        <v>310</v>
      </c>
      <c r="AQ64" s="84" t="s">
        <v>310</v>
      </c>
      <c r="AR64" s="84" t="s">
        <v>310</v>
      </c>
      <c r="AS64" s="84" t="s">
        <v>203</v>
      </c>
      <c r="AT64" s="84" t="s">
        <v>310</v>
      </c>
      <c r="AU64" s="84" t="s">
        <v>310</v>
      </c>
      <c r="AV64" s="84" t="s">
        <v>310</v>
      </c>
      <c r="AW64" s="84" t="s">
        <v>310</v>
      </c>
      <c r="AX64" s="84" t="s">
        <v>310</v>
      </c>
      <c r="AY64" s="84" t="s">
        <v>310</v>
      </c>
      <c r="AZ64" s="84" t="s">
        <v>310</v>
      </c>
      <c r="BA64" s="84" t="s">
        <v>310</v>
      </c>
      <c r="BB64" s="84" t="s">
        <v>310</v>
      </c>
      <c r="BC64" s="84" t="s">
        <v>310</v>
      </c>
      <c r="BD64" s="84" t="s">
        <v>310</v>
      </c>
      <c r="BE64" s="84" t="s">
        <v>310</v>
      </c>
      <c r="BF64" s="84" t="s">
        <v>310</v>
      </c>
      <c r="BG64" s="84" t="s">
        <v>310</v>
      </c>
      <c r="BH64" s="84" t="s">
        <v>310</v>
      </c>
      <c r="BI64" s="84" t="s">
        <v>310</v>
      </c>
      <c r="BJ64" s="84" t="s">
        <v>310</v>
      </c>
    </row>
    <row r="65" spans="1:62" s="88" customFormat="1" x14ac:dyDescent="0.3">
      <c r="A65" s="86">
        <v>305005</v>
      </c>
      <c r="B65" s="87" t="s">
        <v>443</v>
      </c>
      <c r="C65" s="87" t="s">
        <v>444</v>
      </c>
      <c r="D65" s="87" t="str">
        <f t="shared" si="3"/>
        <v>305005_Rent - warehouse</v>
      </c>
      <c r="E65" s="88">
        <v>300000</v>
      </c>
      <c r="F65" s="88" t="s">
        <v>215</v>
      </c>
      <c r="G65" s="87" t="s">
        <v>198</v>
      </c>
      <c r="H65" s="87" t="str">
        <f t="shared" si="1"/>
        <v>300000_Supplies and utilities</v>
      </c>
      <c r="I65" s="88">
        <v>305000</v>
      </c>
      <c r="J65" s="88" t="s">
        <v>434</v>
      </c>
      <c r="K65" s="87" t="s">
        <v>435</v>
      </c>
      <c r="L65" s="87" t="str">
        <f t="shared" si="2"/>
        <v>305000_Rent operating/finance</v>
      </c>
      <c r="M65" s="89" t="s">
        <v>308</v>
      </c>
      <c r="N65" s="90"/>
      <c r="O65" s="91" t="s">
        <v>203</v>
      </c>
      <c r="P65" s="91" t="s">
        <v>203</v>
      </c>
      <c r="Q65" s="91" t="s">
        <v>203</v>
      </c>
      <c r="R65" s="91" t="s">
        <v>203</v>
      </c>
      <c r="S65" s="91" t="s">
        <v>203</v>
      </c>
      <c r="T65" s="91" t="s">
        <v>203</v>
      </c>
      <c r="U65" s="91" t="s">
        <v>203</v>
      </c>
      <c r="V65" s="91" t="s">
        <v>203</v>
      </c>
      <c r="W65" s="91" t="s">
        <v>203</v>
      </c>
      <c r="X65" s="91" t="s">
        <v>203</v>
      </c>
      <c r="Y65" s="91" t="s">
        <v>203</v>
      </c>
      <c r="Z65" s="91" t="s">
        <v>203</v>
      </c>
      <c r="AA65" s="91" t="s">
        <v>203</v>
      </c>
      <c r="AB65" s="91" t="s">
        <v>203</v>
      </c>
      <c r="AC65" s="91" t="s">
        <v>203</v>
      </c>
      <c r="AD65" s="91" t="s">
        <v>310</v>
      </c>
      <c r="AE65" s="91" t="s">
        <v>310</v>
      </c>
      <c r="AF65" s="91" t="s">
        <v>310</v>
      </c>
      <c r="AG65" s="91" t="s">
        <v>310</v>
      </c>
      <c r="AH65" s="91" t="s">
        <v>310</v>
      </c>
      <c r="AI65" s="91" t="s">
        <v>203</v>
      </c>
      <c r="AJ65" s="91" t="s">
        <v>203</v>
      </c>
      <c r="AK65" s="91" t="s">
        <v>203</v>
      </c>
      <c r="AL65" s="91" t="s">
        <v>203</v>
      </c>
      <c r="AM65" s="91" t="s">
        <v>203</v>
      </c>
      <c r="AN65" s="91" t="s">
        <v>203</v>
      </c>
      <c r="AO65" s="91" t="s">
        <v>310</v>
      </c>
      <c r="AP65" s="91" t="s">
        <v>310</v>
      </c>
      <c r="AQ65" s="91" t="s">
        <v>310</v>
      </c>
      <c r="AR65" s="91" t="s">
        <v>310</v>
      </c>
      <c r="AS65" s="91" t="s">
        <v>203</v>
      </c>
      <c r="AT65" s="91" t="s">
        <v>310</v>
      </c>
      <c r="AU65" s="91" t="s">
        <v>310</v>
      </c>
      <c r="AV65" s="91" t="s">
        <v>310</v>
      </c>
      <c r="AW65" s="91" t="s">
        <v>310</v>
      </c>
      <c r="AX65" s="91" t="s">
        <v>310</v>
      </c>
      <c r="AY65" s="91" t="s">
        <v>310</v>
      </c>
      <c r="AZ65" s="91" t="s">
        <v>310</v>
      </c>
      <c r="BA65" s="91" t="s">
        <v>310</v>
      </c>
      <c r="BB65" s="91" t="s">
        <v>310</v>
      </c>
      <c r="BC65" s="91" t="s">
        <v>310</v>
      </c>
      <c r="BD65" s="91" t="s">
        <v>310</v>
      </c>
      <c r="BE65" s="91" t="s">
        <v>310</v>
      </c>
      <c r="BF65" s="91" t="s">
        <v>310</v>
      </c>
      <c r="BG65" s="91" t="s">
        <v>310</v>
      </c>
      <c r="BH65" s="91" t="s">
        <v>310</v>
      </c>
      <c r="BI65" s="91" t="s">
        <v>310</v>
      </c>
      <c r="BJ65" s="91" t="s">
        <v>310</v>
      </c>
    </row>
    <row r="66" spans="1:62" s="80" customFormat="1" x14ac:dyDescent="0.3">
      <c r="A66" s="45">
        <v>305999</v>
      </c>
      <c r="B66" s="46" t="s">
        <v>445</v>
      </c>
      <c r="C66" s="46" t="s">
        <v>446</v>
      </c>
      <c r="D66" s="46" t="str">
        <f t="shared" si="3"/>
        <v>305999_Rent - other</v>
      </c>
      <c r="E66" s="76">
        <v>300000</v>
      </c>
      <c r="F66" s="76" t="s">
        <v>215</v>
      </c>
      <c r="G66" s="76" t="s">
        <v>198</v>
      </c>
      <c r="H66" s="77" t="str">
        <f t="shared" si="1"/>
        <v>300000_Supplies and utilities</v>
      </c>
      <c r="I66" s="76">
        <v>305000</v>
      </c>
      <c r="J66" s="76" t="s">
        <v>434</v>
      </c>
      <c r="K66" s="76" t="s">
        <v>435</v>
      </c>
      <c r="L66" s="77" t="str">
        <f t="shared" si="2"/>
        <v>305000_Rent operating/finance</v>
      </c>
      <c r="M66" s="76" t="s">
        <v>308</v>
      </c>
      <c r="N66" s="78" t="s">
        <v>436</v>
      </c>
      <c r="O66" s="79" t="s">
        <v>203</v>
      </c>
      <c r="P66" s="79" t="s">
        <v>203</v>
      </c>
      <c r="Q66" s="79" t="s">
        <v>203</v>
      </c>
      <c r="R66" s="79" t="s">
        <v>203</v>
      </c>
      <c r="S66" s="79" t="s">
        <v>203</v>
      </c>
      <c r="T66" s="79" t="s">
        <v>203</v>
      </c>
      <c r="U66" s="79" t="s">
        <v>203</v>
      </c>
      <c r="V66" s="79" t="s">
        <v>203</v>
      </c>
      <c r="W66" s="79" t="s">
        <v>203</v>
      </c>
      <c r="X66" s="79" t="s">
        <v>203</v>
      </c>
      <c r="Y66" s="79" t="s">
        <v>203</v>
      </c>
      <c r="Z66" s="79" t="s">
        <v>203</v>
      </c>
      <c r="AA66" s="79" t="s">
        <v>203</v>
      </c>
      <c r="AB66" s="79" t="s">
        <v>203</v>
      </c>
      <c r="AC66" s="79" t="s">
        <v>203</v>
      </c>
      <c r="AD66" s="79" t="s">
        <v>310</v>
      </c>
      <c r="AE66" s="79" t="s">
        <v>310</v>
      </c>
      <c r="AF66" s="79" t="s">
        <v>310</v>
      </c>
      <c r="AG66" s="79" t="s">
        <v>310</v>
      </c>
      <c r="AH66" s="79" t="s">
        <v>310</v>
      </c>
      <c r="AI66" s="79" t="s">
        <v>203</v>
      </c>
      <c r="AJ66" s="79" t="s">
        <v>203</v>
      </c>
      <c r="AK66" s="79" t="s">
        <v>203</v>
      </c>
      <c r="AL66" s="79" t="s">
        <v>203</v>
      </c>
      <c r="AM66" s="79" t="s">
        <v>203</v>
      </c>
      <c r="AN66" s="79" t="s">
        <v>203</v>
      </c>
      <c r="AO66" s="79" t="s">
        <v>310</v>
      </c>
      <c r="AP66" s="79" t="s">
        <v>310</v>
      </c>
      <c r="AQ66" s="79" t="s">
        <v>310</v>
      </c>
      <c r="AR66" s="79" t="s">
        <v>310</v>
      </c>
      <c r="AS66" s="79" t="s">
        <v>203</v>
      </c>
      <c r="AT66" s="79" t="s">
        <v>310</v>
      </c>
      <c r="AU66" s="79" t="s">
        <v>310</v>
      </c>
      <c r="AV66" s="79" t="s">
        <v>310</v>
      </c>
      <c r="AW66" s="79" t="s">
        <v>310</v>
      </c>
      <c r="AX66" s="79" t="s">
        <v>310</v>
      </c>
      <c r="AY66" s="79" t="s">
        <v>310</v>
      </c>
      <c r="AZ66" s="79" t="s">
        <v>310</v>
      </c>
      <c r="BA66" s="79" t="s">
        <v>310</v>
      </c>
      <c r="BB66" s="79" t="s">
        <v>310</v>
      </c>
      <c r="BC66" s="79" t="s">
        <v>310</v>
      </c>
      <c r="BD66" s="79" t="s">
        <v>310</v>
      </c>
      <c r="BE66" s="79" t="s">
        <v>310</v>
      </c>
      <c r="BF66" s="79" t="s">
        <v>310</v>
      </c>
      <c r="BG66" s="79" t="s">
        <v>310</v>
      </c>
      <c r="BH66" s="79" t="s">
        <v>310</v>
      </c>
      <c r="BI66" s="79" t="s">
        <v>310</v>
      </c>
      <c r="BJ66" s="79" t="s">
        <v>310</v>
      </c>
    </row>
    <row r="67" spans="1:62" s="85" customFormat="1" x14ac:dyDescent="0.3">
      <c r="A67" s="43">
        <v>306001</v>
      </c>
      <c r="B67" s="44" t="s">
        <v>447</v>
      </c>
      <c r="C67" s="44" t="s">
        <v>448</v>
      </c>
      <c r="D67" s="44" t="str">
        <f t="shared" ref="D67:D98" si="4">A67&amp;$D$1&amp;C67</f>
        <v>306001_Repair of laboratories (CAPEX)</v>
      </c>
      <c r="E67" s="81">
        <v>300000</v>
      </c>
      <c r="F67" s="81" t="s">
        <v>215</v>
      </c>
      <c r="G67" s="44" t="s">
        <v>198</v>
      </c>
      <c r="H67" s="44" t="str">
        <f t="shared" si="1"/>
        <v>300000_Supplies and utilities</v>
      </c>
      <c r="I67" s="81">
        <v>306000</v>
      </c>
      <c r="J67" s="81" t="s">
        <v>449</v>
      </c>
      <c r="K67" s="44" t="s">
        <v>450</v>
      </c>
      <c r="L67" s="44" t="str">
        <f t="shared" si="2"/>
        <v>306000_Repair and maintenance</v>
      </c>
      <c r="M67" s="82" t="s">
        <v>308</v>
      </c>
      <c r="N67" s="83" t="s">
        <v>203</v>
      </c>
      <c r="O67" s="84" t="s">
        <v>203</v>
      </c>
      <c r="P67" s="84" t="s">
        <v>203</v>
      </c>
      <c r="Q67" s="84" t="s">
        <v>203</v>
      </c>
      <c r="R67" s="84" t="s">
        <v>203</v>
      </c>
      <c r="S67" s="84" t="s">
        <v>203</v>
      </c>
      <c r="T67" s="84" t="s">
        <v>203</v>
      </c>
      <c r="U67" s="84" t="s">
        <v>203</v>
      </c>
      <c r="V67" s="84" t="s">
        <v>203</v>
      </c>
      <c r="W67" s="84" t="s">
        <v>203</v>
      </c>
      <c r="X67" s="84" t="s">
        <v>203</v>
      </c>
      <c r="Y67" s="84" t="s">
        <v>203</v>
      </c>
      <c r="Z67" s="84" t="s">
        <v>203</v>
      </c>
      <c r="AA67" s="84" t="s">
        <v>203</v>
      </c>
      <c r="AB67" s="84" t="s">
        <v>203</v>
      </c>
      <c r="AC67" s="84" t="s">
        <v>203</v>
      </c>
      <c r="AD67" s="84" t="s">
        <v>310</v>
      </c>
      <c r="AE67" s="84" t="s">
        <v>310</v>
      </c>
      <c r="AF67" s="84" t="s">
        <v>310</v>
      </c>
      <c r="AG67" s="84" t="s">
        <v>310</v>
      </c>
      <c r="AH67" s="84" t="s">
        <v>310</v>
      </c>
      <c r="AI67" s="84" t="s">
        <v>203</v>
      </c>
      <c r="AJ67" s="84" t="s">
        <v>203</v>
      </c>
      <c r="AK67" s="84" t="s">
        <v>203</v>
      </c>
      <c r="AL67" s="84" t="s">
        <v>203</v>
      </c>
      <c r="AM67" s="84" t="s">
        <v>203</v>
      </c>
      <c r="AN67" s="84" t="s">
        <v>203</v>
      </c>
      <c r="AO67" s="84" t="s">
        <v>203</v>
      </c>
      <c r="AP67" s="84" t="s">
        <v>203</v>
      </c>
      <c r="AQ67" s="84" t="s">
        <v>203</v>
      </c>
      <c r="AR67" s="84" t="s">
        <v>203</v>
      </c>
      <c r="AS67" s="84" t="s">
        <v>203</v>
      </c>
      <c r="AT67" s="84" t="s">
        <v>310</v>
      </c>
      <c r="AU67" s="84" t="s">
        <v>310</v>
      </c>
      <c r="AV67" s="84" t="s">
        <v>310</v>
      </c>
      <c r="AW67" s="84" t="s">
        <v>310</v>
      </c>
      <c r="AX67" s="84" t="s">
        <v>310</v>
      </c>
      <c r="AY67" s="84" t="s">
        <v>310</v>
      </c>
      <c r="AZ67" s="84" t="s">
        <v>310</v>
      </c>
      <c r="BA67" s="84" t="s">
        <v>310</v>
      </c>
      <c r="BB67" s="84" t="s">
        <v>310</v>
      </c>
      <c r="BC67" s="84" t="s">
        <v>310</v>
      </c>
      <c r="BD67" s="84" t="s">
        <v>310</v>
      </c>
      <c r="BE67" s="84" t="s">
        <v>310</v>
      </c>
      <c r="BF67" s="84" t="s">
        <v>310</v>
      </c>
      <c r="BG67" s="84" t="s">
        <v>310</v>
      </c>
      <c r="BH67" s="84" t="s">
        <v>310</v>
      </c>
      <c r="BI67" s="84" t="s">
        <v>310</v>
      </c>
      <c r="BJ67" s="84" t="s">
        <v>310</v>
      </c>
    </row>
    <row r="68" spans="1:62" s="80" customFormat="1" x14ac:dyDescent="0.3">
      <c r="A68" s="45">
        <v>306002</v>
      </c>
      <c r="B68" s="46" t="s">
        <v>451</v>
      </c>
      <c r="C68" s="46" t="s">
        <v>452</v>
      </c>
      <c r="D68" s="46" t="str">
        <f t="shared" si="4"/>
        <v>306002_Repair of office (CAPEX)</v>
      </c>
      <c r="E68" s="76">
        <v>300000</v>
      </c>
      <c r="F68" s="76" t="s">
        <v>215</v>
      </c>
      <c r="G68" s="76" t="s">
        <v>198</v>
      </c>
      <c r="H68" s="77" t="str">
        <f t="shared" ref="H68:H133" si="5">E68&amp;$D$1&amp;G68</f>
        <v>300000_Supplies and utilities</v>
      </c>
      <c r="I68" s="76">
        <v>306000</v>
      </c>
      <c r="J68" s="76" t="s">
        <v>449</v>
      </c>
      <c r="K68" s="76" t="s">
        <v>450</v>
      </c>
      <c r="L68" s="77" t="str">
        <f t="shared" ref="L68:L133" si="6">I68&amp;$D$1&amp;K68</f>
        <v>306000_Repair and maintenance</v>
      </c>
      <c r="M68" s="76" t="s">
        <v>308</v>
      </c>
      <c r="N68" s="78" t="s">
        <v>203</v>
      </c>
      <c r="O68" s="79" t="s">
        <v>203</v>
      </c>
      <c r="P68" s="79" t="s">
        <v>203</v>
      </c>
      <c r="Q68" s="79" t="s">
        <v>203</v>
      </c>
      <c r="R68" s="79" t="s">
        <v>203</v>
      </c>
      <c r="S68" s="79" t="s">
        <v>203</v>
      </c>
      <c r="T68" s="79" t="s">
        <v>203</v>
      </c>
      <c r="U68" s="79" t="s">
        <v>203</v>
      </c>
      <c r="V68" s="79" t="s">
        <v>203</v>
      </c>
      <c r="W68" s="79" t="s">
        <v>203</v>
      </c>
      <c r="X68" s="79" t="s">
        <v>203</v>
      </c>
      <c r="Y68" s="79" t="s">
        <v>203</v>
      </c>
      <c r="Z68" s="79" t="s">
        <v>203</v>
      </c>
      <c r="AA68" s="79" t="s">
        <v>203</v>
      </c>
      <c r="AB68" s="79" t="s">
        <v>203</v>
      </c>
      <c r="AC68" s="79" t="s">
        <v>203</v>
      </c>
      <c r="AD68" s="79" t="s">
        <v>310</v>
      </c>
      <c r="AE68" s="79" t="s">
        <v>310</v>
      </c>
      <c r="AF68" s="79" t="s">
        <v>310</v>
      </c>
      <c r="AG68" s="79" t="s">
        <v>310</v>
      </c>
      <c r="AH68" s="79" t="s">
        <v>310</v>
      </c>
      <c r="AI68" s="79" t="s">
        <v>203</v>
      </c>
      <c r="AJ68" s="79" t="s">
        <v>203</v>
      </c>
      <c r="AK68" s="79" t="s">
        <v>203</v>
      </c>
      <c r="AL68" s="79" t="s">
        <v>203</v>
      </c>
      <c r="AM68" s="79" t="s">
        <v>203</v>
      </c>
      <c r="AN68" s="79" t="s">
        <v>203</v>
      </c>
      <c r="AO68" s="79" t="s">
        <v>203</v>
      </c>
      <c r="AP68" s="79" t="s">
        <v>203</v>
      </c>
      <c r="AQ68" s="79" t="s">
        <v>203</v>
      </c>
      <c r="AR68" s="79" t="s">
        <v>203</v>
      </c>
      <c r="AS68" s="79" t="s">
        <v>203</v>
      </c>
      <c r="AT68" s="79" t="s">
        <v>203</v>
      </c>
      <c r="AU68" s="79" t="s">
        <v>203</v>
      </c>
      <c r="AV68" s="79" t="s">
        <v>203</v>
      </c>
      <c r="AW68" s="79" t="s">
        <v>203</v>
      </c>
      <c r="AX68" s="79" t="s">
        <v>203</v>
      </c>
      <c r="AY68" s="79" t="s">
        <v>203</v>
      </c>
      <c r="AZ68" s="79" t="s">
        <v>203</v>
      </c>
      <c r="BA68" s="79" t="s">
        <v>203</v>
      </c>
      <c r="BB68" s="79" t="s">
        <v>203</v>
      </c>
      <c r="BC68" s="79" t="s">
        <v>203</v>
      </c>
      <c r="BD68" s="79" t="s">
        <v>203</v>
      </c>
      <c r="BE68" s="79" t="s">
        <v>203</v>
      </c>
      <c r="BF68" s="79" t="s">
        <v>203</v>
      </c>
      <c r="BG68" s="79" t="s">
        <v>203</v>
      </c>
      <c r="BH68" s="79" t="s">
        <v>203</v>
      </c>
      <c r="BI68" s="79" t="s">
        <v>203</v>
      </c>
      <c r="BJ68" s="79" t="s">
        <v>203</v>
      </c>
    </row>
    <row r="69" spans="1:62" s="85" customFormat="1" x14ac:dyDescent="0.3">
      <c r="A69" s="43">
        <v>306101</v>
      </c>
      <c r="B69" s="44" t="s">
        <v>453</v>
      </c>
      <c r="C69" s="44" t="s">
        <v>454</v>
      </c>
      <c r="D69" s="44" t="str">
        <f t="shared" si="4"/>
        <v>306101_Repair of laboratories (OPEX)</v>
      </c>
      <c r="E69" s="81">
        <v>300000</v>
      </c>
      <c r="F69" s="81" t="s">
        <v>215</v>
      </c>
      <c r="G69" s="44" t="s">
        <v>198</v>
      </c>
      <c r="H69" s="44" t="str">
        <f t="shared" si="5"/>
        <v>300000_Supplies and utilities</v>
      </c>
      <c r="I69" s="81">
        <v>306000</v>
      </c>
      <c r="J69" s="81" t="s">
        <v>449</v>
      </c>
      <c r="K69" s="44" t="s">
        <v>450</v>
      </c>
      <c r="L69" s="44" t="str">
        <f t="shared" si="6"/>
        <v>306000_Repair and maintenance</v>
      </c>
      <c r="M69" s="82" t="s">
        <v>308</v>
      </c>
      <c r="N69" s="83" t="s">
        <v>203</v>
      </c>
      <c r="O69" s="84" t="s">
        <v>203</v>
      </c>
      <c r="P69" s="84" t="s">
        <v>203</v>
      </c>
      <c r="Q69" s="84" t="s">
        <v>203</v>
      </c>
      <c r="R69" s="84" t="s">
        <v>203</v>
      </c>
      <c r="S69" s="84" t="s">
        <v>203</v>
      </c>
      <c r="T69" s="84" t="s">
        <v>203</v>
      </c>
      <c r="U69" s="84" t="s">
        <v>203</v>
      </c>
      <c r="V69" s="84" t="s">
        <v>203</v>
      </c>
      <c r="W69" s="84" t="s">
        <v>203</v>
      </c>
      <c r="X69" s="84" t="s">
        <v>203</v>
      </c>
      <c r="Y69" s="84" t="s">
        <v>203</v>
      </c>
      <c r="Z69" s="84" t="s">
        <v>203</v>
      </c>
      <c r="AA69" s="84" t="s">
        <v>203</v>
      </c>
      <c r="AB69" s="84" t="s">
        <v>203</v>
      </c>
      <c r="AC69" s="84" t="s">
        <v>203</v>
      </c>
      <c r="AD69" s="84" t="s">
        <v>310</v>
      </c>
      <c r="AE69" s="84" t="s">
        <v>310</v>
      </c>
      <c r="AF69" s="84" t="s">
        <v>310</v>
      </c>
      <c r="AG69" s="84" t="s">
        <v>310</v>
      </c>
      <c r="AH69" s="84" t="s">
        <v>310</v>
      </c>
      <c r="AI69" s="84" t="s">
        <v>203</v>
      </c>
      <c r="AJ69" s="84" t="s">
        <v>203</v>
      </c>
      <c r="AK69" s="84" t="s">
        <v>203</v>
      </c>
      <c r="AL69" s="84" t="s">
        <v>203</v>
      </c>
      <c r="AM69" s="84" t="s">
        <v>203</v>
      </c>
      <c r="AN69" s="84" t="s">
        <v>203</v>
      </c>
      <c r="AO69" s="84" t="s">
        <v>203</v>
      </c>
      <c r="AP69" s="84" t="s">
        <v>203</v>
      </c>
      <c r="AQ69" s="84" t="s">
        <v>203</v>
      </c>
      <c r="AR69" s="84" t="s">
        <v>203</v>
      </c>
      <c r="AS69" s="84" t="s">
        <v>203</v>
      </c>
      <c r="AT69" s="84" t="s">
        <v>310</v>
      </c>
      <c r="AU69" s="84" t="s">
        <v>310</v>
      </c>
      <c r="AV69" s="84" t="s">
        <v>310</v>
      </c>
      <c r="AW69" s="84" t="s">
        <v>310</v>
      </c>
      <c r="AX69" s="84" t="s">
        <v>310</v>
      </c>
      <c r="AY69" s="84" t="s">
        <v>310</v>
      </c>
      <c r="AZ69" s="84" t="s">
        <v>310</v>
      </c>
      <c r="BA69" s="84" t="s">
        <v>310</v>
      </c>
      <c r="BB69" s="84" t="s">
        <v>310</v>
      </c>
      <c r="BC69" s="84" t="s">
        <v>310</v>
      </c>
      <c r="BD69" s="84" t="s">
        <v>310</v>
      </c>
      <c r="BE69" s="84" t="s">
        <v>310</v>
      </c>
      <c r="BF69" s="84" t="s">
        <v>310</v>
      </c>
      <c r="BG69" s="84" t="s">
        <v>310</v>
      </c>
      <c r="BH69" s="84" t="s">
        <v>310</v>
      </c>
      <c r="BI69" s="84" t="s">
        <v>310</v>
      </c>
      <c r="BJ69" s="84" t="s">
        <v>310</v>
      </c>
    </row>
    <row r="70" spans="1:62" s="80" customFormat="1" x14ac:dyDescent="0.3">
      <c r="A70" s="45">
        <v>306102</v>
      </c>
      <c r="B70" s="46" t="s">
        <v>455</v>
      </c>
      <c r="C70" s="46" t="s">
        <v>456</v>
      </c>
      <c r="D70" s="46" t="str">
        <f t="shared" si="4"/>
        <v>306102_Repair of office (OPEX)</v>
      </c>
      <c r="E70" s="76">
        <v>300000</v>
      </c>
      <c r="F70" s="76" t="s">
        <v>215</v>
      </c>
      <c r="G70" s="76" t="s">
        <v>198</v>
      </c>
      <c r="H70" s="77" t="str">
        <f t="shared" si="5"/>
        <v>300000_Supplies and utilities</v>
      </c>
      <c r="I70" s="76">
        <v>306000</v>
      </c>
      <c r="J70" s="76" t="s">
        <v>449</v>
      </c>
      <c r="K70" s="76" t="s">
        <v>450</v>
      </c>
      <c r="L70" s="77" t="str">
        <f t="shared" si="6"/>
        <v>306000_Repair and maintenance</v>
      </c>
      <c r="M70" s="76" t="s">
        <v>308</v>
      </c>
      <c r="N70" s="78" t="s">
        <v>203</v>
      </c>
      <c r="O70" s="79" t="s">
        <v>203</v>
      </c>
      <c r="P70" s="79" t="s">
        <v>203</v>
      </c>
      <c r="Q70" s="79" t="s">
        <v>203</v>
      </c>
      <c r="R70" s="79" t="s">
        <v>203</v>
      </c>
      <c r="S70" s="79" t="s">
        <v>203</v>
      </c>
      <c r="T70" s="79" t="s">
        <v>203</v>
      </c>
      <c r="U70" s="79" t="s">
        <v>203</v>
      </c>
      <c r="V70" s="79" t="s">
        <v>203</v>
      </c>
      <c r="W70" s="79" t="s">
        <v>203</v>
      </c>
      <c r="X70" s="79" t="s">
        <v>203</v>
      </c>
      <c r="Y70" s="79" t="s">
        <v>203</v>
      </c>
      <c r="Z70" s="79" t="s">
        <v>203</v>
      </c>
      <c r="AA70" s="79" t="s">
        <v>203</v>
      </c>
      <c r="AB70" s="79" t="s">
        <v>203</v>
      </c>
      <c r="AC70" s="79" t="s">
        <v>203</v>
      </c>
      <c r="AD70" s="79" t="s">
        <v>310</v>
      </c>
      <c r="AE70" s="79" t="s">
        <v>310</v>
      </c>
      <c r="AF70" s="79" t="s">
        <v>310</v>
      </c>
      <c r="AG70" s="79" t="s">
        <v>310</v>
      </c>
      <c r="AH70" s="79" t="s">
        <v>310</v>
      </c>
      <c r="AI70" s="79" t="s">
        <v>203</v>
      </c>
      <c r="AJ70" s="79" t="s">
        <v>203</v>
      </c>
      <c r="AK70" s="79" t="s">
        <v>203</v>
      </c>
      <c r="AL70" s="79" t="s">
        <v>203</v>
      </c>
      <c r="AM70" s="79" t="s">
        <v>203</v>
      </c>
      <c r="AN70" s="79" t="s">
        <v>203</v>
      </c>
      <c r="AO70" s="79" t="s">
        <v>203</v>
      </c>
      <c r="AP70" s="79" t="s">
        <v>203</v>
      </c>
      <c r="AQ70" s="79" t="s">
        <v>203</v>
      </c>
      <c r="AR70" s="79" t="s">
        <v>203</v>
      </c>
      <c r="AS70" s="79" t="s">
        <v>203</v>
      </c>
      <c r="AT70" s="79" t="s">
        <v>203</v>
      </c>
      <c r="AU70" s="79" t="s">
        <v>203</v>
      </c>
      <c r="AV70" s="79" t="s">
        <v>203</v>
      </c>
      <c r="AW70" s="79" t="s">
        <v>203</v>
      </c>
      <c r="AX70" s="79" t="s">
        <v>203</v>
      </c>
      <c r="AY70" s="79" t="s">
        <v>203</v>
      </c>
      <c r="AZ70" s="79" t="s">
        <v>203</v>
      </c>
      <c r="BA70" s="79" t="s">
        <v>203</v>
      </c>
      <c r="BB70" s="79" t="s">
        <v>203</v>
      </c>
      <c r="BC70" s="79" t="s">
        <v>203</v>
      </c>
      <c r="BD70" s="79" t="s">
        <v>203</v>
      </c>
      <c r="BE70" s="79" t="s">
        <v>203</v>
      </c>
      <c r="BF70" s="79" t="s">
        <v>203</v>
      </c>
      <c r="BG70" s="79" t="s">
        <v>203</v>
      </c>
      <c r="BH70" s="79" t="s">
        <v>203</v>
      </c>
      <c r="BI70" s="79" t="s">
        <v>203</v>
      </c>
      <c r="BJ70" s="79" t="s">
        <v>203</v>
      </c>
    </row>
    <row r="71" spans="1:62" s="85" customFormat="1" x14ac:dyDescent="0.3">
      <c r="A71" s="43">
        <v>306103</v>
      </c>
      <c r="B71" s="44" t="s">
        <v>457</v>
      </c>
      <c r="C71" s="44" t="s">
        <v>458</v>
      </c>
      <c r="D71" s="44" t="str">
        <f t="shared" si="4"/>
        <v>306103_Repair and maintenance of engineering systems</v>
      </c>
      <c r="E71" s="81">
        <v>300000</v>
      </c>
      <c r="F71" s="81" t="s">
        <v>215</v>
      </c>
      <c r="G71" s="44" t="s">
        <v>198</v>
      </c>
      <c r="H71" s="44" t="str">
        <f t="shared" si="5"/>
        <v>300000_Supplies and utilities</v>
      </c>
      <c r="I71" s="81">
        <v>306000</v>
      </c>
      <c r="J71" s="81" t="s">
        <v>449</v>
      </c>
      <c r="K71" s="44" t="s">
        <v>450</v>
      </c>
      <c r="L71" s="44" t="str">
        <f t="shared" si="6"/>
        <v>306000_Repair and maintenance</v>
      </c>
      <c r="M71" s="82" t="s">
        <v>308</v>
      </c>
      <c r="N71" s="83" t="s">
        <v>203</v>
      </c>
      <c r="O71" s="84" t="s">
        <v>203</v>
      </c>
      <c r="P71" s="84" t="s">
        <v>203</v>
      </c>
      <c r="Q71" s="84" t="s">
        <v>203</v>
      </c>
      <c r="R71" s="84" t="s">
        <v>203</v>
      </c>
      <c r="S71" s="84" t="s">
        <v>203</v>
      </c>
      <c r="T71" s="84" t="s">
        <v>203</v>
      </c>
      <c r="U71" s="84" t="s">
        <v>203</v>
      </c>
      <c r="V71" s="84" t="s">
        <v>203</v>
      </c>
      <c r="W71" s="84" t="s">
        <v>203</v>
      </c>
      <c r="X71" s="84" t="s">
        <v>203</v>
      </c>
      <c r="Y71" s="84" t="s">
        <v>203</v>
      </c>
      <c r="Z71" s="84" t="s">
        <v>203</v>
      </c>
      <c r="AA71" s="84" t="s">
        <v>203</v>
      </c>
      <c r="AB71" s="84" t="s">
        <v>203</v>
      </c>
      <c r="AC71" s="84" t="s">
        <v>203</v>
      </c>
      <c r="AD71" s="84" t="s">
        <v>310</v>
      </c>
      <c r="AE71" s="84" t="s">
        <v>310</v>
      </c>
      <c r="AF71" s="84" t="s">
        <v>310</v>
      </c>
      <c r="AG71" s="84" t="s">
        <v>310</v>
      </c>
      <c r="AH71" s="84" t="s">
        <v>310</v>
      </c>
      <c r="AI71" s="84" t="s">
        <v>203</v>
      </c>
      <c r="AJ71" s="84" t="s">
        <v>203</v>
      </c>
      <c r="AK71" s="84" t="s">
        <v>203</v>
      </c>
      <c r="AL71" s="84" t="s">
        <v>203</v>
      </c>
      <c r="AM71" s="84" t="s">
        <v>203</v>
      </c>
      <c r="AN71" s="84" t="s">
        <v>203</v>
      </c>
      <c r="AO71" s="84" t="s">
        <v>203</v>
      </c>
      <c r="AP71" s="84" t="s">
        <v>203</v>
      </c>
      <c r="AQ71" s="84" t="s">
        <v>203</v>
      </c>
      <c r="AR71" s="84" t="s">
        <v>203</v>
      </c>
      <c r="AS71" s="84" t="s">
        <v>203</v>
      </c>
      <c r="AT71" s="84" t="s">
        <v>310</v>
      </c>
      <c r="AU71" s="84" t="s">
        <v>310</v>
      </c>
      <c r="AV71" s="84" t="s">
        <v>310</v>
      </c>
      <c r="AW71" s="84" t="s">
        <v>310</v>
      </c>
      <c r="AX71" s="84" t="s">
        <v>310</v>
      </c>
      <c r="AY71" s="84" t="s">
        <v>310</v>
      </c>
      <c r="AZ71" s="84" t="s">
        <v>310</v>
      </c>
      <c r="BA71" s="84" t="s">
        <v>310</v>
      </c>
      <c r="BB71" s="84" t="s">
        <v>310</v>
      </c>
      <c r="BC71" s="84" t="s">
        <v>310</v>
      </c>
      <c r="BD71" s="84" t="s">
        <v>310</v>
      </c>
      <c r="BE71" s="84" t="s">
        <v>310</v>
      </c>
      <c r="BF71" s="84" t="s">
        <v>310</v>
      </c>
      <c r="BG71" s="84" t="s">
        <v>310</v>
      </c>
      <c r="BH71" s="84" t="s">
        <v>310</v>
      </c>
      <c r="BI71" s="84" t="s">
        <v>310</v>
      </c>
      <c r="BJ71" s="84" t="s">
        <v>310</v>
      </c>
    </row>
    <row r="72" spans="1:62" s="80" customFormat="1" x14ac:dyDescent="0.3">
      <c r="A72" s="45">
        <v>306104</v>
      </c>
      <c r="B72" s="46" t="s">
        <v>459</v>
      </c>
      <c r="C72" s="46" t="s">
        <v>460</v>
      </c>
      <c r="D72" s="46" t="str">
        <f t="shared" si="4"/>
        <v>306104_Repair and maintenance of vehicles</v>
      </c>
      <c r="E72" s="76">
        <v>300000</v>
      </c>
      <c r="F72" s="76" t="s">
        <v>215</v>
      </c>
      <c r="G72" s="76" t="s">
        <v>198</v>
      </c>
      <c r="H72" s="77" t="str">
        <f t="shared" si="5"/>
        <v>300000_Supplies and utilities</v>
      </c>
      <c r="I72" s="76">
        <v>306000</v>
      </c>
      <c r="J72" s="76" t="s">
        <v>449</v>
      </c>
      <c r="K72" s="76" t="s">
        <v>450</v>
      </c>
      <c r="L72" s="77" t="str">
        <f t="shared" si="6"/>
        <v>306000_Repair and maintenance</v>
      </c>
      <c r="M72" s="76" t="s">
        <v>308</v>
      </c>
      <c r="N72" s="78" t="s">
        <v>203</v>
      </c>
      <c r="O72" s="79" t="s">
        <v>203</v>
      </c>
      <c r="P72" s="79" t="s">
        <v>203</v>
      </c>
      <c r="Q72" s="79" t="s">
        <v>203</v>
      </c>
      <c r="R72" s="79" t="s">
        <v>203</v>
      </c>
      <c r="S72" s="79" t="s">
        <v>203</v>
      </c>
      <c r="T72" s="79" t="s">
        <v>203</v>
      </c>
      <c r="U72" s="79" t="s">
        <v>203</v>
      </c>
      <c r="V72" s="79" t="s">
        <v>203</v>
      </c>
      <c r="W72" s="79" t="s">
        <v>203</v>
      </c>
      <c r="X72" s="79" t="s">
        <v>203</v>
      </c>
      <c r="Y72" s="79" t="s">
        <v>203</v>
      </c>
      <c r="Z72" s="79" t="s">
        <v>203</v>
      </c>
      <c r="AA72" s="79" t="s">
        <v>203</v>
      </c>
      <c r="AB72" s="79" t="s">
        <v>203</v>
      </c>
      <c r="AC72" s="79" t="s">
        <v>203</v>
      </c>
      <c r="AD72" s="79" t="s">
        <v>310</v>
      </c>
      <c r="AE72" s="79" t="s">
        <v>310</v>
      </c>
      <c r="AF72" s="79" t="s">
        <v>310</v>
      </c>
      <c r="AG72" s="79" t="s">
        <v>310</v>
      </c>
      <c r="AH72" s="79" t="s">
        <v>310</v>
      </c>
      <c r="AI72" s="79" t="s">
        <v>310</v>
      </c>
      <c r="AJ72" s="79" t="s">
        <v>203</v>
      </c>
      <c r="AK72" s="79" t="s">
        <v>203</v>
      </c>
      <c r="AL72" s="79" t="s">
        <v>203</v>
      </c>
      <c r="AM72" s="79" t="s">
        <v>203</v>
      </c>
      <c r="AN72" s="79" t="s">
        <v>203</v>
      </c>
      <c r="AO72" s="79" t="s">
        <v>203</v>
      </c>
      <c r="AP72" s="79" t="s">
        <v>203</v>
      </c>
      <c r="AQ72" s="79" t="s">
        <v>203</v>
      </c>
      <c r="AR72" s="79" t="s">
        <v>203</v>
      </c>
      <c r="AS72" s="79" t="s">
        <v>203</v>
      </c>
      <c r="AT72" s="79" t="s">
        <v>203</v>
      </c>
      <c r="AU72" s="79" t="s">
        <v>203</v>
      </c>
      <c r="AV72" s="79" t="s">
        <v>203</v>
      </c>
      <c r="AW72" s="79" t="s">
        <v>203</v>
      </c>
      <c r="AX72" s="79" t="s">
        <v>203</v>
      </c>
      <c r="AY72" s="79" t="s">
        <v>203</v>
      </c>
      <c r="AZ72" s="79" t="s">
        <v>203</v>
      </c>
      <c r="BA72" s="79" t="s">
        <v>203</v>
      </c>
      <c r="BB72" s="79" t="s">
        <v>203</v>
      </c>
      <c r="BC72" s="79" t="s">
        <v>203</v>
      </c>
      <c r="BD72" s="79" t="s">
        <v>203</v>
      </c>
      <c r="BE72" s="79" t="s">
        <v>203</v>
      </c>
      <c r="BF72" s="79" t="s">
        <v>203</v>
      </c>
      <c r="BG72" s="79" t="s">
        <v>203</v>
      </c>
      <c r="BH72" s="79" t="s">
        <v>203</v>
      </c>
      <c r="BI72" s="79" t="s">
        <v>203</v>
      </c>
      <c r="BJ72" s="79" t="s">
        <v>203</v>
      </c>
    </row>
    <row r="73" spans="1:62" s="85" customFormat="1" x14ac:dyDescent="0.3">
      <c r="A73" s="43">
        <v>306105</v>
      </c>
      <c r="B73" s="44" t="s">
        <v>461</v>
      </c>
      <c r="C73" s="44" t="s">
        <v>462</v>
      </c>
      <c r="D73" s="44" t="str">
        <f t="shared" si="4"/>
        <v>306105_Repair and maintenance of IT equipment</v>
      </c>
      <c r="E73" s="81">
        <v>300000</v>
      </c>
      <c r="F73" s="81" t="s">
        <v>215</v>
      </c>
      <c r="G73" s="44" t="s">
        <v>198</v>
      </c>
      <c r="H73" s="44" t="str">
        <f t="shared" si="5"/>
        <v>300000_Supplies and utilities</v>
      </c>
      <c r="I73" s="81">
        <v>306000</v>
      </c>
      <c r="J73" s="81" t="s">
        <v>449</v>
      </c>
      <c r="K73" s="44" t="s">
        <v>450</v>
      </c>
      <c r="L73" s="44" t="str">
        <f t="shared" si="6"/>
        <v>306000_Repair and maintenance</v>
      </c>
      <c r="M73" s="82" t="s">
        <v>308</v>
      </c>
      <c r="N73" s="83" t="s">
        <v>203</v>
      </c>
      <c r="O73" s="84" t="s">
        <v>203</v>
      </c>
      <c r="P73" s="84" t="s">
        <v>203</v>
      </c>
      <c r="Q73" s="84" t="s">
        <v>203</v>
      </c>
      <c r="R73" s="84" t="s">
        <v>203</v>
      </c>
      <c r="S73" s="84" t="s">
        <v>203</v>
      </c>
      <c r="T73" s="84" t="s">
        <v>203</v>
      </c>
      <c r="U73" s="84" t="s">
        <v>203</v>
      </c>
      <c r="V73" s="84" t="s">
        <v>203</v>
      </c>
      <c r="W73" s="84" t="s">
        <v>203</v>
      </c>
      <c r="X73" s="84" t="s">
        <v>203</v>
      </c>
      <c r="Y73" s="84" t="s">
        <v>203</v>
      </c>
      <c r="Z73" s="84" t="s">
        <v>203</v>
      </c>
      <c r="AA73" s="84" t="s">
        <v>203</v>
      </c>
      <c r="AB73" s="84" t="s">
        <v>203</v>
      </c>
      <c r="AC73" s="84" t="s">
        <v>203</v>
      </c>
      <c r="AD73" s="84" t="s">
        <v>203</v>
      </c>
      <c r="AE73" s="84" t="s">
        <v>203</v>
      </c>
      <c r="AF73" s="84" t="s">
        <v>203</v>
      </c>
      <c r="AG73" s="84" t="s">
        <v>203</v>
      </c>
      <c r="AH73" s="84" t="s">
        <v>203</v>
      </c>
      <c r="AI73" s="84" t="s">
        <v>203</v>
      </c>
      <c r="AJ73" s="84" t="s">
        <v>310</v>
      </c>
      <c r="AK73" s="84" t="s">
        <v>203</v>
      </c>
      <c r="AL73" s="84" t="s">
        <v>203</v>
      </c>
      <c r="AM73" s="84" t="s">
        <v>203</v>
      </c>
      <c r="AN73" s="84" t="s">
        <v>203</v>
      </c>
      <c r="AO73" s="84" t="s">
        <v>203</v>
      </c>
      <c r="AP73" s="84" t="s">
        <v>203</v>
      </c>
      <c r="AQ73" s="84" t="s">
        <v>203</v>
      </c>
      <c r="AR73" s="84" t="s">
        <v>203</v>
      </c>
      <c r="AS73" s="84" t="s">
        <v>203</v>
      </c>
      <c r="AT73" s="84" t="s">
        <v>203</v>
      </c>
      <c r="AU73" s="84" t="s">
        <v>203</v>
      </c>
      <c r="AV73" s="84" t="s">
        <v>203</v>
      </c>
      <c r="AW73" s="84" t="s">
        <v>203</v>
      </c>
      <c r="AX73" s="84" t="s">
        <v>203</v>
      </c>
      <c r="AY73" s="84" t="s">
        <v>203</v>
      </c>
      <c r="AZ73" s="84" t="s">
        <v>203</v>
      </c>
      <c r="BA73" s="84" t="s">
        <v>203</v>
      </c>
      <c r="BB73" s="84" t="s">
        <v>203</v>
      </c>
      <c r="BC73" s="84" t="s">
        <v>203</v>
      </c>
      <c r="BD73" s="84" t="s">
        <v>203</v>
      </c>
      <c r="BE73" s="84" t="s">
        <v>203</v>
      </c>
      <c r="BF73" s="84" t="s">
        <v>203</v>
      </c>
      <c r="BG73" s="84" t="s">
        <v>203</v>
      </c>
      <c r="BH73" s="84" t="s">
        <v>203</v>
      </c>
      <c r="BI73" s="84" t="s">
        <v>203</v>
      </c>
      <c r="BJ73" s="84" t="s">
        <v>203</v>
      </c>
    </row>
    <row r="74" spans="1:62" s="80" customFormat="1" x14ac:dyDescent="0.3">
      <c r="A74" s="45">
        <v>306106</v>
      </c>
      <c r="B74" s="46" t="s">
        <v>463</v>
      </c>
      <c r="C74" s="46" t="s">
        <v>464</v>
      </c>
      <c r="D74" s="46" t="str">
        <f t="shared" si="4"/>
        <v>306106_Software maintenance</v>
      </c>
      <c r="E74" s="76">
        <v>300000</v>
      </c>
      <c r="F74" s="76" t="s">
        <v>215</v>
      </c>
      <c r="G74" s="76" t="s">
        <v>198</v>
      </c>
      <c r="H74" s="77" t="str">
        <f t="shared" si="5"/>
        <v>300000_Supplies and utilities</v>
      </c>
      <c r="I74" s="76">
        <v>306000</v>
      </c>
      <c r="J74" s="76" t="s">
        <v>449</v>
      </c>
      <c r="K74" s="76" t="s">
        <v>450</v>
      </c>
      <c r="L74" s="77" t="str">
        <f t="shared" si="6"/>
        <v>306000_Repair and maintenance</v>
      </c>
      <c r="M74" s="76" t="s">
        <v>308</v>
      </c>
      <c r="N74" s="78" t="s">
        <v>465</v>
      </c>
      <c r="O74" s="79" t="s">
        <v>310</v>
      </c>
      <c r="P74" s="79" t="s">
        <v>310</v>
      </c>
      <c r="Q74" s="79" t="s">
        <v>310</v>
      </c>
      <c r="R74" s="79" t="s">
        <v>310</v>
      </c>
      <c r="S74" s="79" t="s">
        <v>310</v>
      </c>
      <c r="T74" s="79" t="s">
        <v>310</v>
      </c>
      <c r="U74" s="79" t="s">
        <v>310</v>
      </c>
      <c r="V74" s="79" t="s">
        <v>310</v>
      </c>
      <c r="W74" s="79" t="s">
        <v>310</v>
      </c>
      <c r="X74" s="79" t="s">
        <v>310</v>
      </c>
      <c r="Y74" s="79" t="s">
        <v>310</v>
      </c>
      <c r="Z74" s="79" t="s">
        <v>310</v>
      </c>
      <c r="AA74" s="79" t="s">
        <v>310</v>
      </c>
      <c r="AB74" s="79" t="s">
        <v>310</v>
      </c>
      <c r="AC74" s="79" t="s">
        <v>310</v>
      </c>
      <c r="AD74" s="79" t="s">
        <v>310</v>
      </c>
      <c r="AE74" s="79" t="s">
        <v>310</v>
      </c>
      <c r="AF74" s="79" t="s">
        <v>310</v>
      </c>
      <c r="AG74" s="79" t="s">
        <v>310</v>
      </c>
      <c r="AH74" s="79" t="s">
        <v>310</v>
      </c>
      <c r="AI74" s="79" t="s">
        <v>310</v>
      </c>
      <c r="AJ74" s="79" t="s">
        <v>310</v>
      </c>
      <c r="AK74" s="79" t="s">
        <v>310</v>
      </c>
      <c r="AL74" s="79" t="s">
        <v>310</v>
      </c>
      <c r="AM74" s="79" t="s">
        <v>203</v>
      </c>
      <c r="AN74" s="79" t="s">
        <v>203</v>
      </c>
      <c r="AO74" s="79" t="s">
        <v>310</v>
      </c>
      <c r="AP74" s="79" t="s">
        <v>310</v>
      </c>
      <c r="AQ74" s="79" t="s">
        <v>310</v>
      </c>
      <c r="AR74" s="79" t="s">
        <v>310</v>
      </c>
      <c r="AS74" s="79" t="s">
        <v>310</v>
      </c>
      <c r="AT74" s="79" t="s">
        <v>310</v>
      </c>
      <c r="AU74" s="79" t="s">
        <v>310</v>
      </c>
      <c r="AV74" s="79" t="s">
        <v>310</v>
      </c>
      <c r="AW74" s="79" t="s">
        <v>310</v>
      </c>
      <c r="AX74" s="79" t="s">
        <v>310</v>
      </c>
      <c r="AY74" s="79" t="s">
        <v>310</v>
      </c>
      <c r="AZ74" s="79" t="s">
        <v>310</v>
      </c>
      <c r="BA74" s="79" t="s">
        <v>310</v>
      </c>
      <c r="BB74" s="79" t="s">
        <v>310</v>
      </c>
      <c r="BC74" s="79" t="s">
        <v>310</v>
      </c>
      <c r="BD74" s="79" t="s">
        <v>310</v>
      </c>
      <c r="BE74" s="79" t="s">
        <v>310</v>
      </c>
      <c r="BF74" s="79" t="s">
        <v>310</v>
      </c>
      <c r="BG74" s="79" t="s">
        <v>310</v>
      </c>
      <c r="BH74" s="79" t="s">
        <v>310</v>
      </c>
      <c r="BI74" s="79" t="s">
        <v>310</v>
      </c>
      <c r="BJ74" s="79" t="s">
        <v>310</v>
      </c>
    </row>
    <row r="75" spans="1:62" s="85" customFormat="1" x14ac:dyDescent="0.3">
      <c r="A75" s="43">
        <v>307001</v>
      </c>
      <c r="B75" s="44" t="s">
        <v>466</v>
      </c>
      <c r="C75" s="44" t="s">
        <v>467</v>
      </c>
      <c r="D75" s="44" t="str">
        <f t="shared" si="4"/>
        <v>307001_Utility charges</v>
      </c>
      <c r="E75" s="81">
        <v>300000</v>
      </c>
      <c r="F75" s="81" t="s">
        <v>215</v>
      </c>
      <c r="G75" s="44" t="s">
        <v>198</v>
      </c>
      <c r="H75" s="44" t="str">
        <f t="shared" si="5"/>
        <v>300000_Supplies and utilities</v>
      </c>
      <c r="I75" s="81">
        <v>307000</v>
      </c>
      <c r="J75" s="81" t="s">
        <v>221</v>
      </c>
      <c r="K75" s="44" t="s">
        <v>468</v>
      </c>
      <c r="L75" s="44" t="str">
        <f t="shared" si="6"/>
        <v>307000_Facility servicing</v>
      </c>
      <c r="M75" s="82" t="s">
        <v>308</v>
      </c>
      <c r="N75" s="83" t="s">
        <v>203</v>
      </c>
      <c r="O75" s="84" t="s">
        <v>203</v>
      </c>
      <c r="P75" s="84" t="s">
        <v>203</v>
      </c>
      <c r="Q75" s="84" t="s">
        <v>203</v>
      </c>
      <c r="R75" s="84" t="s">
        <v>203</v>
      </c>
      <c r="S75" s="84" t="s">
        <v>203</v>
      </c>
      <c r="T75" s="84" t="s">
        <v>203</v>
      </c>
      <c r="U75" s="84" t="s">
        <v>203</v>
      </c>
      <c r="V75" s="84" t="s">
        <v>203</v>
      </c>
      <c r="W75" s="84" t="s">
        <v>203</v>
      </c>
      <c r="X75" s="84" t="s">
        <v>203</v>
      </c>
      <c r="Y75" s="84" t="s">
        <v>203</v>
      </c>
      <c r="Z75" s="84" t="s">
        <v>203</v>
      </c>
      <c r="AA75" s="84" t="s">
        <v>203</v>
      </c>
      <c r="AB75" s="84" t="s">
        <v>203</v>
      </c>
      <c r="AC75" s="84" t="s">
        <v>203</v>
      </c>
      <c r="AD75" s="84" t="s">
        <v>310</v>
      </c>
      <c r="AE75" s="84" t="s">
        <v>310</v>
      </c>
      <c r="AF75" s="84" t="s">
        <v>310</v>
      </c>
      <c r="AG75" s="84" t="s">
        <v>310</v>
      </c>
      <c r="AH75" s="84" t="s">
        <v>310</v>
      </c>
      <c r="AI75" s="84" t="s">
        <v>203</v>
      </c>
      <c r="AJ75" s="84" t="s">
        <v>203</v>
      </c>
      <c r="AK75" s="84" t="s">
        <v>203</v>
      </c>
      <c r="AL75" s="84" t="s">
        <v>203</v>
      </c>
      <c r="AM75" s="84" t="s">
        <v>203</v>
      </c>
      <c r="AN75" s="84" t="s">
        <v>203</v>
      </c>
      <c r="AO75" s="84" t="s">
        <v>203</v>
      </c>
      <c r="AP75" s="84" t="s">
        <v>203</v>
      </c>
      <c r="AQ75" s="84" t="s">
        <v>203</v>
      </c>
      <c r="AR75" s="84" t="s">
        <v>203</v>
      </c>
      <c r="AS75" s="84" t="s">
        <v>203</v>
      </c>
      <c r="AT75" s="84" t="s">
        <v>203</v>
      </c>
      <c r="AU75" s="84" t="s">
        <v>203</v>
      </c>
      <c r="AV75" s="84" t="s">
        <v>203</v>
      </c>
      <c r="AW75" s="84" t="s">
        <v>203</v>
      </c>
      <c r="AX75" s="84" t="s">
        <v>203</v>
      </c>
      <c r="AY75" s="84" t="s">
        <v>203</v>
      </c>
      <c r="AZ75" s="84" t="s">
        <v>203</v>
      </c>
      <c r="BA75" s="84" t="s">
        <v>203</v>
      </c>
      <c r="BB75" s="84" t="s">
        <v>203</v>
      </c>
      <c r="BC75" s="84" t="s">
        <v>203</v>
      </c>
      <c r="BD75" s="84" t="s">
        <v>203</v>
      </c>
      <c r="BE75" s="84" t="s">
        <v>203</v>
      </c>
      <c r="BF75" s="84" t="s">
        <v>203</v>
      </c>
      <c r="BG75" s="84" t="s">
        <v>203</v>
      </c>
      <c r="BH75" s="84" t="s">
        <v>203</v>
      </c>
      <c r="BI75" s="84" t="s">
        <v>203</v>
      </c>
      <c r="BJ75" s="84" t="s">
        <v>203</v>
      </c>
    </row>
    <row r="76" spans="1:62" s="80" customFormat="1" x14ac:dyDescent="0.3">
      <c r="A76" s="45">
        <v>307002</v>
      </c>
      <c r="B76" s="46" t="s">
        <v>469</v>
      </c>
      <c r="C76" s="46" t="s">
        <v>470</v>
      </c>
      <c r="D76" s="46" t="str">
        <f t="shared" si="4"/>
        <v>307002_Cleaning - indoor</v>
      </c>
      <c r="E76" s="76">
        <v>300000</v>
      </c>
      <c r="F76" s="76" t="s">
        <v>215</v>
      </c>
      <c r="G76" s="76" t="s">
        <v>198</v>
      </c>
      <c r="H76" s="77" t="str">
        <f t="shared" si="5"/>
        <v>300000_Supplies and utilities</v>
      </c>
      <c r="I76" s="76">
        <v>307000</v>
      </c>
      <c r="J76" s="76" t="s">
        <v>221</v>
      </c>
      <c r="K76" s="76" t="s">
        <v>468</v>
      </c>
      <c r="L76" s="77" t="str">
        <f t="shared" si="6"/>
        <v>307000_Facility servicing</v>
      </c>
      <c r="M76" s="76" t="s">
        <v>308</v>
      </c>
      <c r="N76" s="78" t="s">
        <v>203</v>
      </c>
      <c r="O76" s="79" t="s">
        <v>203</v>
      </c>
      <c r="P76" s="79" t="s">
        <v>203</v>
      </c>
      <c r="Q76" s="79" t="s">
        <v>203</v>
      </c>
      <c r="R76" s="79" t="s">
        <v>203</v>
      </c>
      <c r="S76" s="79" t="s">
        <v>203</v>
      </c>
      <c r="T76" s="79" t="s">
        <v>203</v>
      </c>
      <c r="U76" s="79" t="s">
        <v>203</v>
      </c>
      <c r="V76" s="79" t="s">
        <v>203</v>
      </c>
      <c r="W76" s="79" t="s">
        <v>203</v>
      </c>
      <c r="X76" s="79" t="s">
        <v>203</v>
      </c>
      <c r="Y76" s="79" t="s">
        <v>203</v>
      </c>
      <c r="Z76" s="79" t="s">
        <v>203</v>
      </c>
      <c r="AA76" s="79" t="s">
        <v>203</v>
      </c>
      <c r="AB76" s="79" t="s">
        <v>203</v>
      </c>
      <c r="AC76" s="79" t="s">
        <v>203</v>
      </c>
      <c r="AD76" s="79" t="s">
        <v>310</v>
      </c>
      <c r="AE76" s="79" t="s">
        <v>310</v>
      </c>
      <c r="AF76" s="79" t="s">
        <v>310</v>
      </c>
      <c r="AG76" s="79" t="s">
        <v>310</v>
      </c>
      <c r="AH76" s="79" t="s">
        <v>310</v>
      </c>
      <c r="AI76" s="79" t="s">
        <v>203</v>
      </c>
      <c r="AJ76" s="79" t="s">
        <v>203</v>
      </c>
      <c r="AK76" s="79" t="s">
        <v>203</v>
      </c>
      <c r="AL76" s="79" t="s">
        <v>203</v>
      </c>
      <c r="AM76" s="79" t="s">
        <v>203</v>
      </c>
      <c r="AN76" s="79" t="s">
        <v>203</v>
      </c>
      <c r="AO76" s="79" t="s">
        <v>203</v>
      </c>
      <c r="AP76" s="79" t="s">
        <v>203</v>
      </c>
      <c r="AQ76" s="79" t="s">
        <v>203</v>
      </c>
      <c r="AR76" s="79" t="s">
        <v>203</v>
      </c>
      <c r="AS76" s="79" t="s">
        <v>203</v>
      </c>
      <c r="AT76" s="79" t="s">
        <v>203</v>
      </c>
      <c r="AU76" s="79" t="s">
        <v>203</v>
      </c>
      <c r="AV76" s="79" t="s">
        <v>203</v>
      </c>
      <c r="AW76" s="79" t="s">
        <v>203</v>
      </c>
      <c r="AX76" s="79" t="s">
        <v>203</v>
      </c>
      <c r="AY76" s="79" t="s">
        <v>203</v>
      </c>
      <c r="AZ76" s="79" t="s">
        <v>203</v>
      </c>
      <c r="BA76" s="79" t="s">
        <v>203</v>
      </c>
      <c r="BB76" s="79" t="s">
        <v>203</v>
      </c>
      <c r="BC76" s="79" t="s">
        <v>203</v>
      </c>
      <c r="BD76" s="79" t="s">
        <v>203</v>
      </c>
      <c r="BE76" s="79" t="s">
        <v>203</v>
      </c>
      <c r="BF76" s="79" t="s">
        <v>203</v>
      </c>
      <c r="BG76" s="79" t="s">
        <v>203</v>
      </c>
      <c r="BH76" s="79" t="s">
        <v>203</v>
      </c>
      <c r="BI76" s="79" t="s">
        <v>203</v>
      </c>
      <c r="BJ76" s="79" t="s">
        <v>203</v>
      </c>
    </row>
    <row r="77" spans="1:62" s="85" customFormat="1" x14ac:dyDescent="0.3">
      <c r="A77" s="43">
        <v>307003</v>
      </c>
      <c r="B77" s="44" t="s">
        <v>471</v>
      </c>
      <c r="C77" s="44" t="s">
        <v>472</v>
      </c>
      <c r="D77" s="44" t="str">
        <f t="shared" si="4"/>
        <v>307003_Cleaning  - outdoor</v>
      </c>
      <c r="E77" s="81">
        <v>300000</v>
      </c>
      <c r="F77" s="81" t="s">
        <v>215</v>
      </c>
      <c r="G77" s="44" t="s">
        <v>198</v>
      </c>
      <c r="H77" s="44" t="str">
        <f t="shared" si="5"/>
        <v>300000_Supplies and utilities</v>
      </c>
      <c r="I77" s="81">
        <v>307000</v>
      </c>
      <c r="J77" s="81" t="s">
        <v>221</v>
      </c>
      <c r="K77" s="44" t="s">
        <v>468</v>
      </c>
      <c r="L77" s="44" t="str">
        <f t="shared" si="6"/>
        <v>307000_Facility servicing</v>
      </c>
      <c r="M77" s="82" t="s">
        <v>308</v>
      </c>
      <c r="N77" s="83" t="s">
        <v>203</v>
      </c>
      <c r="O77" s="84" t="s">
        <v>203</v>
      </c>
      <c r="P77" s="84" t="s">
        <v>203</v>
      </c>
      <c r="Q77" s="84" t="s">
        <v>203</v>
      </c>
      <c r="R77" s="84" t="s">
        <v>203</v>
      </c>
      <c r="S77" s="84" t="s">
        <v>203</v>
      </c>
      <c r="T77" s="84" t="s">
        <v>203</v>
      </c>
      <c r="U77" s="84" t="s">
        <v>203</v>
      </c>
      <c r="V77" s="84" t="s">
        <v>203</v>
      </c>
      <c r="W77" s="84" t="s">
        <v>203</v>
      </c>
      <c r="X77" s="84" t="s">
        <v>203</v>
      </c>
      <c r="Y77" s="84" t="s">
        <v>203</v>
      </c>
      <c r="Z77" s="84" t="s">
        <v>203</v>
      </c>
      <c r="AA77" s="84" t="s">
        <v>203</v>
      </c>
      <c r="AB77" s="84" t="s">
        <v>203</v>
      </c>
      <c r="AC77" s="84" t="s">
        <v>203</v>
      </c>
      <c r="AD77" s="84" t="s">
        <v>310</v>
      </c>
      <c r="AE77" s="84" t="s">
        <v>310</v>
      </c>
      <c r="AF77" s="84" t="s">
        <v>310</v>
      </c>
      <c r="AG77" s="84" t="s">
        <v>310</v>
      </c>
      <c r="AH77" s="84" t="s">
        <v>310</v>
      </c>
      <c r="AI77" s="84" t="s">
        <v>203</v>
      </c>
      <c r="AJ77" s="84" t="s">
        <v>203</v>
      </c>
      <c r="AK77" s="84" t="s">
        <v>203</v>
      </c>
      <c r="AL77" s="84" t="s">
        <v>203</v>
      </c>
      <c r="AM77" s="84" t="s">
        <v>203</v>
      </c>
      <c r="AN77" s="84" t="s">
        <v>203</v>
      </c>
      <c r="AO77" s="84" t="s">
        <v>203</v>
      </c>
      <c r="AP77" s="84" t="s">
        <v>203</v>
      </c>
      <c r="AQ77" s="84" t="s">
        <v>203</v>
      </c>
      <c r="AR77" s="84" t="s">
        <v>203</v>
      </c>
      <c r="AS77" s="84" t="s">
        <v>203</v>
      </c>
      <c r="AT77" s="84" t="s">
        <v>203</v>
      </c>
      <c r="AU77" s="84" t="s">
        <v>203</v>
      </c>
      <c r="AV77" s="84" t="s">
        <v>203</v>
      </c>
      <c r="AW77" s="84" t="s">
        <v>203</v>
      </c>
      <c r="AX77" s="84" t="s">
        <v>203</v>
      </c>
      <c r="AY77" s="84" t="s">
        <v>203</v>
      </c>
      <c r="AZ77" s="84" t="s">
        <v>203</v>
      </c>
      <c r="BA77" s="84" t="s">
        <v>203</v>
      </c>
      <c r="BB77" s="84" t="s">
        <v>203</v>
      </c>
      <c r="BC77" s="84" t="s">
        <v>203</v>
      </c>
      <c r="BD77" s="84" t="s">
        <v>203</v>
      </c>
      <c r="BE77" s="84" t="s">
        <v>203</v>
      </c>
      <c r="BF77" s="84" t="s">
        <v>203</v>
      </c>
      <c r="BG77" s="84" t="s">
        <v>203</v>
      </c>
      <c r="BH77" s="84" t="s">
        <v>203</v>
      </c>
      <c r="BI77" s="84" t="s">
        <v>203</v>
      </c>
      <c r="BJ77" s="84" t="s">
        <v>203</v>
      </c>
    </row>
    <row r="78" spans="1:62" s="80" customFormat="1" x14ac:dyDescent="0.3">
      <c r="A78" s="45">
        <v>307004</v>
      </c>
      <c r="B78" s="46" t="s">
        <v>473</v>
      </c>
      <c r="C78" s="46" t="s">
        <v>474</v>
      </c>
      <c r="D78" s="46" t="str">
        <f t="shared" si="4"/>
        <v>307004_Internet expenses and IP telephony</v>
      </c>
      <c r="E78" s="76">
        <v>300000</v>
      </c>
      <c r="F78" s="76" t="s">
        <v>215</v>
      </c>
      <c r="G78" s="76" t="s">
        <v>198</v>
      </c>
      <c r="H78" s="77" t="str">
        <f t="shared" si="5"/>
        <v>300000_Supplies and utilities</v>
      </c>
      <c r="I78" s="76">
        <v>307000</v>
      </c>
      <c r="J78" s="76" t="s">
        <v>221</v>
      </c>
      <c r="K78" s="76" t="s">
        <v>468</v>
      </c>
      <c r="L78" s="77" t="str">
        <f t="shared" si="6"/>
        <v>307000_Facility servicing</v>
      </c>
      <c r="M78" s="76" t="s">
        <v>308</v>
      </c>
      <c r="N78" s="78" t="s">
        <v>203</v>
      </c>
      <c r="O78" s="79" t="s">
        <v>203</v>
      </c>
      <c r="P78" s="79" t="s">
        <v>203</v>
      </c>
      <c r="Q78" s="79" t="s">
        <v>203</v>
      </c>
      <c r="R78" s="79" t="s">
        <v>203</v>
      </c>
      <c r="S78" s="79" t="s">
        <v>203</v>
      </c>
      <c r="T78" s="79" t="s">
        <v>203</v>
      </c>
      <c r="U78" s="79" t="s">
        <v>203</v>
      </c>
      <c r="V78" s="79" t="s">
        <v>203</v>
      </c>
      <c r="W78" s="79" t="s">
        <v>203</v>
      </c>
      <c r="X78" s="79" t="s">
        <v>203</v>
      </c>
      <c r="Y78" s="79" t="s">
        <v>203</v>
      </c>
      <c r="Z78" s="79" t="s">
        <v>203</v>
      </c>
      <c r="AA78" s="79" t="s">
        <v>203</v>
      </c>
      <c r="AB78" s="79" t="s">
        <v>203</v>
      </c>
      <c r="AC78" s="79" t="s">
        <v>203</v>
      </c>
      <c r="AD78" s="79" t="s">
        <v>310</v>
      </c>
      <c r="AE78" s="79" t="s">
        <v>310</v>
      </c>
      <c r="AF78" s="79" t="s">
        <v>310</v>
      </c>
      <c r="AG78" s="79" t="s">
        <v>310</v>
      </c>
      <c r="AH78" s="79" t="s">
        <v>310</v>
      </c>
      <c r="AI78" s="79" t="s">
        <v>203</v>
      </c>
      <c r="AJ78" s="79" t="s">
        <v>310</v>
      </c>
      <c r="AK78" s="79" t="s">
        <v>203</v>
      </c>
      <c r="AL78" s="79" t="s">
        <v>203</v>
      </c>
      <c r="AM78" s="79" t="s">
        <v>203</v>
      </c>
      <c r="AN78" s="79" t="s">
        <v>203</v>
      </c>
      <c r="AO78" s="79" t="s">
        <v>203</v>
      </c>
      <c r="AP78" s="79" t="s">
        <v>203</v>
      </c>
      <c r="AQ78" s="79" t="s">
        <v>203</v>
      </c>
      <c r="AR78" s="79" t="s">
        <v>203</v>
      </c>
      <c r="AS78" s="79" t="s">
        <v>203</v>
      </c>
      <c r="AT78" s="79" t="s">
        <v>203</v>
      </c>
      <c r="AU78" s="79" t="s">
        <v>203</v>
      </c>
      <c r="AV78" s="79" t="s">
        <v>203</v>
      </c>
      <c r="AW78" s="79" t="s">
        <v>203</v>
      </c>
      <c r="AX78" s="79" t="s">
        <v>203</v>
      </c>
      <c r="AY78" s="79" t="s">
        <v>203</v>
      </c>
      <c r="AZ78" s="79" t="s">
        <v>203</v>
      </c>
      <c r="BA78" s="79" t="s">
        <v>203</v>
      </c>
      <c r="BB78" s="79" t="s">
        <v>203</v>
      </c>
      <c r="BC78" s="79" t="s">
        <v>203</v>
      </c>
      <c r="BD78" s="79" t="s">
        <v>203</v>
      </c>
      <c r="BE78" s="79" t="s">
        <v>203</v>
      </c>
      <c r="BF78" s="79" t="s">
        <v>203</v>
      </c>
      <c r="BG78" s="79" t="s">
        <v>203</v>
      </c>
      <c r="BH78" s="79" t="s">
        <v>203</v>
      </c>
      <c r="BI78" s="79" t="s">
        <v>203</v>
      </c>
      <c r="BJ78" s="79" t="s">
        <v>203</v>
      </c>
    </row>
    <row r="79" spans="1:62" s="85" customFormat="1" x14ac:dyDescent="0.3">
      <c r="A79" s="43">
        <v>307005</v>
      </c>
      <c r="B79" s="44" t="s">
        <v>222</v>
      </c>
      <c r="C79" s="44" t="s">
        <v>475</v>
      </c>
      <c r="D79" s="44" t="str">
        <f t="shared" si="4"/>
        <v>307005_Postal and courier expenses</v>
      </c>
      <c r="E79" s="81">
        <v>300000</v>
      </c>
      <c r="F79" s="81" t="s">
        <v>215</v>
      </c>
      <c r="G79" s="44" t="s">
        <v>198</v>
      </c>
      <c r="H79" s="44" t="str">
        <f t="shared" si="5"/>
        <v>300000_Supplies and utilities</v>
      </c>
      <c r="I79" s="81">
        <v>307000</v>
      </c>
      <c r="J79" s="81" t="s">
        <v>221</v>
      </c>
      <c r="K79" s="44" t="s">
        <v>468</v>
      </c>
      <c r="L79" s="44" t="str">
        <f t="shared" si="6"/>
        <v>307000_Facility servicing</v>
      </c>
      <c r="M79" s="82" t="s">
        <v>308</v>
      </c>
      <c r="N79" s="83" t="s">
        <v>203</v>
      </c>
      <c r="O79" s="84" t="s">
        <v>310</v>
      </c>
      <c r="P79" s="84" t="s">
        <v>310</v>
      </c>
      <c r="Q79" s="84" t="s">
        <v>310</v>
      </c>
      <c r="R79" s="84" t="s">
        <v>310</v>
      </c>
      <c r="S79" s="84" t="s">
        <v>310</v>
      </c>
      <c r="T79" s="84" t="s">
        <v>310</v>
      </c>
      <c r="U79" s="84" t="s">
        <v>310</v>
      </c>
      <c r="V79" s="84" t="s">
        <v>310</v>
      </c>
      <c r="W79" s="84" t="s">
        <v>310</v>
      </c>
      <c r="X79" s="84" t="s">
        <v>310</v>
      </c>
      <c r="Y79" s="84" t="s">
        <v>310</v>
      </c>
      <c r="Z79" s="84" t="s">
        <v>310</v>
      </c>
      <c r="AA79" s="84" t="s">
        <v>310</v>
      </c>
      <c r="AB79" s="84" t="s">
        <v>310</v>
      </c>
      <c r="AC79" s="84" t="s">
        <v>310</v>
      </c>
      <c r="AD79" s="84" t="s">
        <v>310</v>
      </c>
      <c r="AE79" s="84" t="s">
        <v>310</v>
      </c>
      <c r="AF79" s="84" t="s">
        <v>310</v>
      </c>
      <c r="AG79" s="84" t="s">
        <v>310</v>
      </c>
      <c r="AH79" s="84" t="s">
        <v>310</v>
      </c>
      <c r="AI79" s="84" t="s">
        <v>310</v>
      </c>
      <c r="AJ79" s="84" t="s">
        <v>310</v>
      </c>
      <c r="AK79" s="84" t="s">
        <v>310</v>
      </c>
      <c r="AL79" s="84" t="s">
        <v>310</v>
      </c>
      <c r="AM79" s="84" t="s">
        <v>310</v>
      </c>
      <c r="AN79" s="84" t="s">
        <v>310</v>
      </c>
      <c r="AO79" s="84" t="s">
        <v>310</v>
      </c>
      <c r="AP79" s="84" t="s">
        <v>310</v>
      </c>
      <c r="AQ79" s="84" t="s">
        <v>310</v>
      </c>
      <c r="AR79" s="84" t="s">
        <v>310</v>
      </c>
      <c r="AS79" s="84" t="s">
        <v>310</v>
      </c>
      <c r="AT79" s="84" t="s">
        <v>310</v>
      </c>
      <c r="AU79" s="84" t="s">
        <v>310</v>
      </c>
      <c r="AV79" s="84" t="s">
        <v>310</v>
      </c>
      <c r="AW79" s="84" t="s">
        <v>310</v>
      </c>
      <c r="AX79" s="84" t="s">
        <v>310</v>
      </c>
      <c r="AY79" s="84" t="s">
        <v>310</v>
      </c>
      <c r="AZ79" s="84" t="s">
        <v>310</v>
      </c>
      <c r="BA79" s="84" t="s">
        <v>310</v>
      </c>
      <c r="BB79" s="84" t="s">
        <v>310</v>
      </c>
      <c r="BC79" s="84" t="s">
        <v>310</v>
      </c>
      <c r="BD79" s="84" t="s">
        <v>310</v>
      </c>
      <c r="BE79" s="84" t="s">
        <v>310</v>
      </c>
      <c r="BF79" s="84" t="s">
        <v>310</v>
      </c>
      <c r="BG79" s="84" t="s">
        <v>310</v>
      </c>
      <c r="BH79" s="84" t="s">
        <v>310</v>
      </c>
      <c r="BI79" s="84" t="s">
        <v>310</v>
      </c>
      <c r="BJ79" s="84" t="s">
        <v>310</v>
      </c>
    </row>
    <row r="80" spans="1:62" s="80" customFormat="1" x14ac:dyDescent="0.3">
      <c r="A80" s="45">
        <v>308001</v>
      </c>
      <c r="B80" s="46" t="s">
        <v>224</v>
      </c>
      <c r="C80" s="46" t="s">
        <v>476</v>
      </c>
      <c r="D80" s="46" t="str">
        <f t="shared" si="4"/>
        <v>308001_Logistic/transport expenses</v>
      </c>
      <c r="E80" s="76">
        <v>300000</v>
      </c>
      <c r="F80" s="76" t="s">
        <v>215</v>
      </c>
      <c r="G80" s="76" t="s">
        <v>198</v>
      </c>
      <c r="H80" s="77" t="str">
        <f t="shared" si="5"/>
        <v>300000_Supplies and utilities</v>
      </c>
      <c r="I80" s="76">
        <v>308000</v>
      </c>
      <c r="J80" s="76" t="s">
        <v>223</v>
      </c>
      <c r="K80" s="76" t="s">
        <v>477</v>
      </c>
      <c r="L80" s="77" t="str">
        <f t="shared" si="6"/>
        <v>308000_Transport expenses</v>
      </c>
      <c r="M80" s="76" t="s">
        <v>308</v>
      </c>
      <c r="N80" s="78" t="s">
        <v>478</v>
      </c>
      <c r="O80" s="79" t="s">
        <v>310</v>
      </c>
      <c r="P80" s="79" t="s">
        <v>310</v>
      </c>
      <c r="Q80" s="79" t="s">
        <v>310</v>
      </c>
      <c r="R80" s="79" t="s">
        <v>310</v>
      </c>
      <c r="S80" s="79" t="s">
        <v>310</v>
      </c>
      <c r="T80" s="79" t="s">
        <v>310</v>
      </c>
      <c r="U80" s="79" t="s">
        <v>310</v>
      </c>
      <c r="V80" s="79" t="s">
        <v>310</v>
      </c>
      <c r="W80" s="79" t="s">
        <v>310</v>
      </c>
      <c r="X80" s="79" t="s">
        <v>310</v>
      </c>
      <c r="Y80" s="79" t="s">
        <v>310</v>
      </c>
      <c r="Z80" s="79" t="s">
        <v>310</v>
      </c>
      <c r="AA80" s="79" t="s">
        <v>310</v>
      </c>
      <c r="AB80" s="79" t="s">
        <v>310</v>
      </c>
      <c r="AC80" s="79" t="s">
        <v>310</v>
      </c>
      <c r="AD80" s="79" t="s">
        <v>310</v>
      </c>
      <c r="AE80" s="79" t="s">
        <v>310</v>
      </c>
      <c r="AF80" s="79" t="s">
        <v>310</v>
      </c>
      <c r="AG80" s="79" t="s">
        <v>310</v>
      </c>
      <c r="AH80" s="79" t="s">
        <v>310</v>
      </c>
      <c r="AI80" s="79" t="s">
        <v>310</v>
      </c>
      <c r="AJ80" s="79" t="s">
        <v>310</v>
      </c>
      <c r="AK80" s="79" t="s">
        <v>310</v>
      </c>
      <c r="AL80" s="79" t="s">
        <v>310</v>
      </c>
      <c r="AM80" s="79" t="s">
        <v>310</v>
      </c>
      <c r="AN80" s="79" t="s">
        <v>310</v>
      </c>
      <c r="AO80" s="79" t="s">
        <v>310</v>
      </c>
      <c r="AP80" s="79" t="s">
        <v>310</v>
      </c>
      <c r="AQ80" s="79" t="s">
        <v>310</v>
      </c>
      <c r="AR80" s="79" t="s">
        <v>310</v>
      </c>
      <c r="AS80" s="79" t="s">
        <v>310</v>
      </c>
      <c r="AT80" s="79" t="s">
        <v>310</v>
      </c>
      <c r="AU80" s="79" t="s">
        <v>310</v>
      </c>
      <c r="AV80" s="79" t="s">
        <v>310</v>
      </c>
      <c r="AW80" s="79" t="s">
        <v>310</v>
      </c>
      <c r="AX80" s="79" t="s">
        <v>310</v>
      </c>
      <c r="AY80" s="79" t="s">
        <v>310</v>
      </c>
      <c r="AZ80" s="79" t="s">
        <v>310</v>
      </c>
      <c r="BA80" s="79" t="s">
        <v>310</v>
      </c>
      <c r="BB80" s="79" t="s">
        <v>310</v>
      </c>
      <c r="BC80" s="79" t="s">
        <v>310</v>
      </c>
      <c r="BD80" s="79" t="s">
        <v>310</v>
      </c>
      <c r="BE80" s="79" t="s">
        <v>310</v>
      </c>
      <c r="BF80" s="79" t="s">
        <v>310</v>
      </c>
      <c r="BG80" s="79" t="s">
        <v>310</v>
      </c>
      <c r="BH80" s="79" t="s">
        <v>310</v>
      </c>
      <c r="BI80" s="79" t="s">
        <v>310</v>
      </c>
      <c r="BJ80" s="79" t="s">
        <v>310</v>
      </c>
    </row>
    <row r="81" spans="1:62" s="85" customFormat="1" x14ac:dyDescent="0.3">
      <c r="A81" s="43">
        <v>308002</v>
      </c>
      <c r="B81" s="44" t="s">
        <v>225</v>
      </c>
      <c r="C81" s="44" t="s">
        <v>479</v>
      </c>
      <c r="D81" s="44" t="str">
        <f t="shared" si="4"/>
        <v>308002_Taxi expenses</v>
      </c>
      <c r="E81" s="81">
        <v>300000</v>
      </c>
      <c r="F81" s="81" t="s">
        <v>215</v>
      </c>
      <c r="G81" s="44" t="s">
        <v>198</v>
      </c>
      <c r="H81" s="44" t="str">
        <f t="shared" si="5"/>
        <v>300000_Supplies and utilities</v>
      </c>
      <c r="I81" s="81">
        <v>308000</v>
      </c>
      <c r="J81" s="81" t="s">
        <v>223</v>
      </c>
      <c r="K81" s="44" t="s">
        <v>477</v>
      </c>
      <c r="L81" s="44" t="str">
        <f t="shared" si="6"/>
        <v>308000_Transport expenses</v>
      </c>
      <c r="M81" s="82" t="s">
        <v>308</v>
      </c>
      <c r="N81" s="83" t="s">
        <v>480</v>
      </c>
      <c r="O81" s="84" t="s">
        <v>310</v>
      </c>
      <c r="P81" s="84" t="s">
        <v>310</v>
      </c>
      <c r="Q81" s="84" t="s">
        <v>310</v>
      </c>
      <c r="R81" s="84" t="s">
        <v>310</v>
      </c>
      <c r="S81" s="84" t="s">
        <v>310</v>
      </c>
      <c r="T81" s="84" t="s">
        <v>310</v>
      </c>
      <c r="U81" s="84" t="s">
        <v>310</v>
      </c>
      <c r="V81" s="84" t="s">
        <v>310</v>
      </c>
      <c r="W81" s="84" t="s">
        <v>310</v>
      </c>
      <c r="X81" s="84" t="s">
        <v>310</v>
      </c>
      <c r="Y81" s="84" t="s">
        <v>310</v>
      </c>
      <c r="Z81" s="84" t="s">
        <v>310</v>
      </c>
      <c r="AA81" s="84" t="s">
        <v>310</v>
      </c>
      <c r="AB81" s="84" t="s">
        <v>310</v>
      </c>
      <c r="AC81" s="84" t="s">
        <v>310</v>
      </c>
      <c r="AD81" s="84" t="s">
        <v>310</v>
      </c>
      <c r="AE81" s="84" t="s">
        <v>310</v>
      </c>
      <c r="AF81" s="84" t="s">
        <v>310</v>
      </c>
      <c r="AG81" s="84" t="s">
        <v>310</v>
      </c>
      <c r="AH81" s="84" t="s">
        <v>310</v>
      </c>
      <c r="AI81" s="84" t="s">
        <v>310</v>
      </c>
      <c r="AJ81" s="84" t="s">
        <v>310</v>
      </c>
      <c r="AK81" s="84" t="s">
        <v>310</v>
      </c>
      <c r="AL81" s="84" t="s">
        <v>310</v>
      </c>
      <c r="AM81" s="84" t="s">
        <v>310</v>
      </c>
      <c r="AN81" s="84" t="s">
        <v>310</v>
      </c>
      <c r="AO81" s="84" t="s">
        <v>310</v>
      </c>
      <c r="AP81" s="84" t="s">
        <v>310</v>
      </c>
      <c r="AQ81" s="84" t="s">
        <v>310</v>
      </c>
      <c r="AR81" s="84" t="s">
        <v>310</v>
      </c>
      <c r="AS81" s="84" t="s">
        <v>310</v>
      </c>
      <c r="AT81" s="84" t="s">
        <v>310</v>
      </c>
      <c r="AU81" s="84" t="s">
        <v>310</v>
      </c>
      <c r="AV81" s="84" t="s">
        <v>310</v>
      </c>
      <c r="AW81" s="84" t="s">
        <v>310</v>
      </c>
      <c r="AX81" s="84" t="s">
        <v>310</v>
      </c>
      <c r="AY81" s="84" t="s">
        <v>310</v>
      </c>
      <c r="AZ81" s="84" t="s">
        <v>310</v>
      </c>
      <c r="BA81" s="84" t="s">
        <v>310</v>
      </c>
      <c r="BB81" s="84" t="s">
        <v>310</v>
      </c>
      <c r="BC81" s="84" t="s">
        <v>310</v>
      </c>
      <c r="BD81" s="84" t="s">
        <v>310</v>
      </c>
      <c r="BE81" s="84" t="s">
        <v>310</v>
      </c>
      <c r="BF81" s="84" t="s">
        <v>310</v>
      </c>
      <c r="BG81" s="84" t="s">
        <v>310</v>
      </c>
      <c r="BH81" s="84" t="s">
        <v>310</v>
      </c>
      <c r="BI81" s="84" t="s">
        <v>310</v>
      </c>
      <c r="BJ81" s="84" t="s">
        <v>310</v>
      </c>
    </row>
    <row r="82" spans="1:62" s="80" customFormat="1" x14ac:dyDescent="0.3">
      <c r="A82" s="45">
        <v>309001</v>
      </c>
      <c r="B82" s="46" t="s">
        <v>481</v>
      </c>
      <c r="C82" s="46" t="s">
        <v>482</v>
      </c>
      <c r="D82" s="46" t="str">
        <f t="shared" si="4"/>
        <v>309001_Security</v>
      </c>
      <c r="E82" s="76">
        <v>300000</v>
      </c>
      <c r="F82" s="76" t="s">
        <v>215</v>
      </c>
      <c r="G82" s="76" t="s">
        <v>198</v>
      </c>
      <c r="H82" s="77" t="str">
        <f t="shared" si="5"/>
        <v>300000_Supplies and utilities</v>
      </c>
      <c r="I82" s="76">
        <v>309000</v>
      </c>
      <c r="J82" s="76" t="s">
        <v>483</v>
      </c>
      <c r="K82" s="76" t="s">
        <v>484</v>
      </c>
      <c r="L82" s="77" t="str">
        <f t="shared" si="6"/>
        <v>309000_Security related expenses</v>
      </c>
      <c r="M82" s="76" t="s">
        <v>308</v>
      </c>
      <c r="N82" s="78" t="s">
        <v>485</v>
      </c>
      <c r="O82" s="79" t="s">
        <v>203</v>
      </c>
      <c r="P82" s="79" t="s">
        <v>203</v>
      </c>
      <c r="Q82" s="79" t="s">
        <v>203</v>
      </c>
      <c r="R82" s="79" t="s">
        <v>203</v>
      </c>
      <c r="S82" s="79" t="s">
        <v>203</v>
      </c>
      <c r="T82" s="79" t="s">
        <v>203</v>
      </c>
      <c r="U82" s="79" t="s">
        <v>203</v>
      </c>
      <c r="V82" s="79" t="s">
        <v>203</v>
      </c>
      <c r="W82" s="79" t="s">
        <v>203</v>
      </c>
      <c r="X82" s="79" t="s">
        <v>203</v>
      </c>
      <c r="Y82" s="79" t="s">
        <v>203</v>
      </c>
      <c r="Z82" s="79" t="s">
        <v>203</v>
      </c>
      <c r="AA82" s="79" t="s">
        <v>203</v>
      </c>
      <c r="AB82" s="79" t="s">
        <v>203</v>
      </c>
      <c r="AC82" s="79" t="s">
        <v>203</v>
      </c>
      <c r="AD82" s="79" t="s">
        <v>310</v>
      </c>
      <c r="AE82" s="79" t="s">
        <v>310</v>
      </c>
      <c r="AF82" s="79" t="s">
        <v>310</v>
      </c>
      <c r="AG82" s="79" t="s">
        <v>310</v>
      </c>
      <c r="AH82" s="79" t="s">
        <v>310</v>
      </c>
      <c r="AI82" s="79" t="s">
        <v>203</v>
      </c>
      <c r="AJ82" s="79" t="s">
        <v>203</v>
      </c>
      <c r="AK82" s="79" t="s">
        <v>203</v>
      </c>
      <c r="AL82" s="79" t="s">
        <v>203</v>
      </c>
      <c r="AM82" s="79" t="s">
        <v>203</v>
      </c>
      <c r="AN82" s="79" t="s">
        <v>203</v>
      </c>
      <c r="AO82" s="79" t="s">
        <v>203</v>
      </c>
      <c r="AP82" s="79" t="s">
        <v>203</v>
      </c>
      <c r="AQ82" s="79" t="s">
        <v>203</v>
      </c>
      <c r="AR82" s="79" t="s">
        <v>203</v>
      </c>
      <c r="AS82" s="79" t="s">
        <v>203</v>
      </c>
      <c r="AT82" s="79" t="s">
        <v>203</v>
      </c>
      <c r="AU82" s="79" t="s">
        <v>203</v>
      </c>
      <c r="AV82" s="79" t="s">
        <v>203</v>
      </c>
      <c r="AW82" s="79" t="s">
        <v>203</v>
      </c>
      <c r="AX82" s="79" t="s">
        <v>203</v>
      </c>
      <c r="AY82" s="79" t="s">
        <v>203</v>
      </c>
      <c r="AZ82" s="79" t="s">
        <v>203</v>
      </c>
      <c r="BA82" s="79" t="s">
        <v>203</v>
      </c>
      <c r="BB82" s="79" t="s">
        <v>203</v>
      </c>
      <c r="BC82" s="79" t="s">
        <v>203</v>
      </c>
      <c r="BD82" s="79" t="s">
        <v>203</v>
      </c>
      <c r="BE82" s="79" t="s">
        <v>203</v>
      </c>
      <c r="BF82" s="79" t="s">
        <v>203</v>
      </c>
      <c r="BG82" s="79" t="s">
        <v>203</v>
      </c>
      <c r="BH82" s="79" t="s">
        <v>203</v>
      </c>
      <c r="BI82" s="79" t="s">
        <v>203</v>
      </c>
      <c r="BJ82" s="79" t="s">
        <v>203</v>
      </c>
    </row>
    <row r="83" spans="1:62" s="85" customFormat="1" x14ac:dyDescent="0.3">
      <c r="A83" s="43">
        <v>309002</v>
      </c>
      <c r="B83" s="44" t="s">
        <v>486</v>
      </c>
      <c r="C83" s="44" t="s">
        <v>487</v>
      </c>
      <c r="D83" s="44" t="str">
        <f t="shared" si="4"/>
        <v xml:space="preserve">309002_Expenses on EHS and technospheric safety </v>
      </c>
      <c r="E83" s="81">
        <v>300000</v>
      </c>
      <c r="F83" s="81" t="s">
        <v>215</v>
      </c>
      <c r="G83" s="44" t="s">
        <v>198</v>
      </c>
      <c r="H83" s="44" t="str">
        <f t="shared" si="5"/>
        <v>300000_Supplies and utilities</v>
      </c>
      <c r="I83" s="81">
        <v>309000</v>
      </c>
      <c r="J83" s="81" t="s">
        <v>483</v>
      </c>
      <c r="K83" s="44" t="s">
        <v>484</v>
      </c>
      <c r="L83" s="44" t="str">
        <f t="shared" si="6"/>
        <v>309000_Security related expenses</v>
      </c>
      <c r="M83" s="82" t="s">
        <v>308</v>
      </c>
      <c r="N83" s="83" t="s">
        <v>203</v>
      </c>
      <c r="O83" s="84" t="s">
        <v>203</v>
      </c>
      <c r="P83" s="84" t="s">
        <v>203</v>
      </c>
      <c r="Q83" s="84" t="s">
        <v>203</v>
      </c>
      <c r="R83" s="84" t="s">
        <v>203</v>
      </c>
      <c r="S83" s="84" t="s">
        <v>203</v>
      </c>
      <c r="T83" s="84" t="s">
        <v>203</v>
      </c>
      <c r="U83" s="84" t="s">
        <v>203</v>
      </c>
      <c r="V83" s="84" t="s">
        <v>203</v>
      </c>
      <c r="W83" s="84" t="s">
        <v>203</v>
      </c>
      <c r="X83" s="84" t="s">
        <v>203</v>
      </c>
      <c r="Y83" s="84" t="s">
        <v>203</v>
      </c>
      <c r="Z83" s="84" t="s">
        <v>203</v>
      </c>
      <c r="AA83" s="84" t="s">
        <v>203</v>
      </c>
      <c r="AB83" s="84" t="s">
        <v>203</v>
      </c>
      <c r="AC83" s="84" t="s">
        <v>203</v>
      </c>
      <c r="AD83" s="84" t="s">
        <v>310</v>
      </c>
      <c r="AE83" s="84" t="s">
        <v>310</v>
      </c>
      <c r="AF83" s="84" t="s">
        <v>310</v>
      </c>
      <c r="AG83" s="84" t="s">
        <v>310</v>
      </c>
      <c r="AH83" s="84" t="s">
        <v>310</v>
      </c>
      <c r="AI83" s="84" t="s">
        <v>203</v>
      </c>
      <c r="AJ83" s="84" t="s">
        <v>203</v>
      </c>
      <c r="AK83" s="84" t="s">
        <v>203</v>
      </c>
      <c r="AL83" s="84" t="s">
        <v>203</v>
      </c>
      <c r="AM83" s="84" t="s">
        <v>203</v>
      </c>
      <c r="AN83" s="84" t="s">
        <v>203</v>
      </c>
      <c r="AO83" s="84" t="s">
        <v>203</v>
      </c>
      <c r="AP83" s="84" t="s">
        <v>203</v>
      </c>
      <c r="AQ83" s="84" t="s">
        <v>203</v>
      </c>
      <c r="AR83" s="84" t="s">
        <v>203</v>
      </c>
      <c r="AS83" s="84" t="s">
        <v>203</v>
      </c>
      <c r="AT83" s="84" t="s">
        <v>203</v>
      </c>
      <c r="AU83" s="84" t="s">
        <v>203</v>
      </c>
      <c r="AV83" s="84" t="s">
        <v>203</v>
      </c>
      <c r="AW83" s="84" t="s">
        <v>203</v>
      </c>
      <c r="AX83" s="84" t="s">
        <v>203</v>
      </c>
      <c r="AY83" s="84" t="s">
        <v>203</v>
      </c>
      <c r="AZ83" s="84" t="s">
        <v>203</v>
      </c>
      <c r="BA83" s="84" t="s">
        <v>203</v>
      </c>
      <c r="BB83" s="84" t="s">
        <v>203</v>
      </c>
      <c r="BC83" s="84" t="s">
        <v>203</v>
      </c>
      <c r="BD83" s="84" t="s">
        <v>203</v>
      </c>
      <c r="BE83" s="84" t="s">
        <v>203</v>
      </c>
      <c r="BF83" s="84" t="s">
        <v>203</v>
      </c>
      <c r="BG83" s="84" t="s">
        <v>203</v>
      </c>
      <c r="BH83" s="84" t="s">
        <v>203</v>
      </c>
      <c r="BI83" s="84" t="s">
        <v>203</v>
      </c>
      <c r="BJ83" s="84" t="s">
        <v>203</v>
      </c>
    </row>
    <row r="84" spans="1:62" s="80" customFormat="1" x14ac:dyDescent="0.3">
      <c r="A84" s="45">
        <v>309003</v>
      </c>
      <c r="B84" s="46" t="s">
        <v>488</v>
      </c>
      <c r="C84" s="46" t="s">
        <v>489</v>
      </c>
      <c r="D84" s="46" t="str">
        <f t="shared" si="4"/>
        <v>309003_Coveralls</v>
      </c>
      <c r="E84" s="76">
        <v>300000</v>
      </c>
      <c r="F84" s="76" t="s">
        <v>215</v>
      </c>
      <c r="G84" s="76" t="s">
        <v>198</v>
      </c>
      <c r="H84" s="77" t="str">
        <f t="shared" si="5"/>
        <v>300000_Supplies and utilities</v>
      </c>
      <c r="I84" s="76">
        <v>309000</v>
      </c>
      <c r="J84" s="76" t="s">
        <v>483</v>
      </c>
      <c r="K84" s="76" t="s">
        <v>484</v>
      </c>
      <c r="L84" s="77" t="str">
        <f t="shared" si="6"/>
        <v>309000_Security related expenses</v>
      </c>
      <c r="M84" s="76" t="s">
        <v>308</v>
      </c>
      <c r="N84" s="78" t="s">
        <v>203</v>
      </c>
      <c r="O84" s="79" t="s">
        <v>203</v>
      </c>
      <c r="P84" s="79" t="s">
        <v>203</v>
      </c>
      <c r="Q84" s="79" t="s">
        <v>203</v>
      </c>
      <c r="R84" s="79" t="s">
        <v>203</v>
      </c>
      <c r="S84" s="79" t="s">
        <v>203</v>
      </c>
      <c r="T84" s="79" t="s">
        <v>203</v>
      </c>
      <c r="U84" s="79" t="s">
        <v>203</v>
      </c>
      <c r="V84" s="79" t="s">
        <v>203</v>
      </c>
      <c r="W84" s="79" t="s">
        <v>203</v>
      </c>
      <c r="X84" s="79" t="s">
        <v>203</v>
      </c>
      <c r="Y84" s="79" t="s">
        <v>203</v>
      </c>
      <c r="Z84" s="79" t="s">
        <v>203</v>
      </c>
      <c r="AA84" s="79" t="s">
        <v>203</v>
      </c>
      <c r="AB84" s="79" t="s">
        <v>203</v>
      </c>
      <c r="AC84" s="79" t="s">
        <v>203</v>
      </c>
      <c r="AD84" s="79" t="s">
        <v>203</v>
      </c>
      <c r="AE84" s="79" t="s">
        <v>203</v>
      </c>
      <c r="AF84" s="79" t="s">
        <v>203</v>
      </c>
      <c r="AG84" s="79" t="s">
        <v>310</v>
      </c>
      <c r="AH84" s="79" t="s">
        <v>203</v>
      </c>
      <c r="AI84" s="79" t="s">
        <v>203</v>
      </c>
      <c r="AJ84" s="79" t="s">
        <v>310</v>
      </c>
      <c r="AK84" s="79" t="s">
        <v>203</v>
      </c>
      <c r="AL84" s="79" t="s">
        <v>203</v>
      </c>
      <c r="AM84" s="79" t="s">
        <v>203</v>
      </c>
      <c r="AN84" s="79" t="s">
        <v>203</v>
      </c>
      <c r="AO84" s="79" t="s">
        <v>203</v>
      </c>
      <c r="AP84" s="79" t="s">
        <v>203</v>
      </c>
      <c r="AQ84" s="79" t="s">
        <v>203</v>
      </c>
      <c r="AR84" s="79" t="s">
        <v>203</v>
      </c>
      <c r="AS84" s="79" t="s">
        <v>203</v>
      </c>
      <c r="AT84" s="79" t="s">
        <v>203</v>
      </c>
      <c r="AU84" s="79" t="s">
        <v>203</v>
      </c>
      <c r="AV84" s="79" t="s">
        <v>203</v>
      </c>
      <c r="AW84" s="79" t="s">
        <v>203</v>
      </c>
      <c r="AX84" s="79" t="s">
        <v>203</v>
      </c>
      <c r="AY84" s="79" t="s">
        <v>203</v>
      </c>
      <c r="AZ84" s="79" t="s">
        <v>203</v>
      </c>
      <c r="BA84" s="79" t="s">
        <v>203</v>
      </c>
      <c r="BB84" s="79" t="s">
        <v>203</v>
      </c>
      <c r="BC84" s="79" t="s">
        <v>203</v>
      </c>
      <c r="BD84" s="79" t="s">
        <v>203</v>
      </c>
      <c r="BE84" s="79" t="s">
        <v>203</v>
      </c>
      <c r="BF84" s="79" t="s">
        <v>203</v>
      </c>
      <c r="BG84" s="79" t="s">
        <v>203</v>
      </c>
      <c r="BH84" s="79" t="s">
        <v>203</v>
      </c>
      <c r="BI84" s="79" t="s">
        <v>203</v>
      </c>
      <c r="BJ84" s="79" t="s">
        <v>203</v>
      </c>
    </row>
    <row r="85" spans="1:62" s="85" customFormat="1" x14ac:dyDescent="0.3">
      <c r="A85" s="43">
        <v>310001</v>
      </c>
      <c r="B85" s="44" t="s">
        <v>490</v>
      </c>
      <c r="C85" s="44" t="s">
        <v>491</v>
      </c>
      <c r="D85" s="44" t="str">
        <f t="shared" si="4"/>
        <v>310001_Campus construction</v>
      </c>
      <c r="E85" s="81">
        <v>300000</v>
      </c>
      <c r="F85" s="81" t="s">
        <v>215</v>
      </c>
      <c r="G85" s="44" t="s">
        <v>198</v>
      </c>
      <c r="H85" s="44" t="str">
        <f t="shared" si="5"/>
        <v>300000_Supplies and utilities</v>
      </c>
      <c r="I85" s="81">
        <v>310000</v>
      </c>
      <c r="J85" s="81" t="s">
        <v>492</v>
      </c>
      <c r="K85" s="44" t="s">
        <v>493</v>
      </c>
      <c r="L85" s="44" t="str">
        <f t="shared" si="6"/>
        <v>310000_Constructions</v>
      </c>
      <c r="M85" s="82" t="s">
        <v>308</v>
      </c>
      <c r="N85" s="83" t="s">
        <v>203</v>
      </c>
      <c r="O85" s="84" t="s">
        <v>203</v>
      </c>
      <c r="P85" s="84" t="s">
        <v>203</v>
      </c>
      <c r="Q85" s="84" t="s">
        <v>203</v>
      </c>
      <c r="R85" s="84" t="s">
        <v>203</v>
      </c>
      <c r="S85" s="84" t="s">
        <v>203</v>
      </c>
      <c r="T85" s="84" t="s">
        <v>203</v>
      </c>
      <c r="U85" s="84" t="s">
        <v>203</v>
      </c>
      <c r="V85" s="84" t="s">
        <v>203</v>
      </c>
      <c r="W85" s="84" t="s">
        <v>203</v>
      </c>
      <c r="X85" s="84" t="s">
        <v>203</v>
      </c>
      <c r="Y85" s="84" t="s">
        <v>203</v>
      </c>
      <c r="Z85" s="84" t="s">
        <v>203</v>
      </c>
      <c r="AA85" s="84" t="s">
        <v>203</v>
      </c>
      <c r="AB85" s="84" t="s">
        <v>203</v>
      </c>
      <c r="AC85" s="84" t="s">
        <v>203</v>
      </c>
      <c r="AD85" s="84" t="s">
        <v>310</v>
      </c>
      <c r="AE85" s="84" t="s">
        <v>310</v>
      </c>
      <c r="AF85" s="84" t="s">
        <v>310</v>
      </c>
      <c r="AG85" s="84" t="s">
        <v>310</v>
      </c>
      <c r="AH85" s="84" t="s">
        <v>310</v>
      </c>
      <c r="AI85" s="84" t="s">
        <v>203</v>
      </c>
      <c r="AJ85" s="84" t="s">
        <v>203</v>
      </c>
      <c r="AK85" s="84" t="s">
        <v>203</v>
      </c>
      <c r="AL85" s="84" t="s">
        <v>203</v>
      </c>
      <c r="AM85" s="84" t="s">
        <v>203</v>
      </c>
      <c r="AN85" s="84" t="s">
        <v>203</v>
      </c>
      <c r="AO85" s="84" t="s">
        <v>203</v>
      </c>
      <c r="AP85" s="84" t="s">
        <v>203</v>
      </c>
      <c r="AQ85" s="84" t="s">
        <v>203</v>
      </c>
      <c r="AR85" s="84" t="s">
        <v>203</v>
      </c>
      <c r="AS85" s="84" t="s">
        <v>203</v>
      </c>
      <c r="AT85" s="84" t="s">
        <v>203</v>
      </c>
      <c r="AU85" s="84" t="s">
        <v>203</v>
      </c>
      <c r="AV85" s="84" t="s">
        <v>203</v>
      </c>
      <c r="AW85" s="84" t="s">
        <v>203</v>
      </c>
      <c r="AX85" s="84" t="s">
        <v>203</v>
      </c>
      <c r="AY85" s="84" t="s">
        <v>203</v>
      </c>
      <c r="AZ85" s="84" t="s">
        <v>203</v>
      </c>
      <c r="BA85" s="84" t="s">
        <v>203</v>
      </c>
      <c r="BB85" s="84" t="s">
        <v>203</v>
      </c>
      <c r="BC85" s="84" t="s">
        <v>203</v>
      </c>
      <c r="BD85" s="84" t="s">
        <v>203</v>
      </c>
      <c r="BE85" s="84" t="s">
        <v>203</v>
      </c>
      <c r="BF85" s="84" t="s">
        <v>203</v>
      </c>
      <c r="BG85" s="84" t="s">
        <v>203</v>
      </c>
      <c r="BH85" s="84" t="s">
        <v>203</v>
      </c>
      <c r="BI85" s="84" t="s">
        <v>203</v>
      </c>
      <c r="BJ85" s="84" t="s">
        <v>203</v>
      </c>
    </row>
    <row r="86" spans="1:62" s="80" customFormat="1" x14ac:dyDescent="0.3">
      <c r="A86" s="45">
        <v>311004</v>
      </c>
      <c r="B86" s="46" t="s">
        <v>494</v>
      </c>
      <c r="C86" s="46" t="s">
        <v>495</v>
      </c>
      <c r="D86" s="46" t="str">
        <f t="shared" si="4"/>
        <v>311004_Books and periodicals</v>
      </c>
      <c r="E86" s="76">
        <v>300000</v>
      </c>
      <c r="F86" s="76" t="s">
        <v>215</v>
      </c>
      <c r="G86" s="76" t="s">
        <v>198</v>
      </c>
      <c r="H86" s="77" t="str">
        <f t="shared" si="5"/>
        <v>300000_Supplies and utilities</v>
      </c>
      <c r="I86" s="76">
        <v>311000</v>
      </c>
      <c r="J86" s="76" t="s">
        <v>496</v>
      </c>
      <c r="K86" s="76" t="s">
        <v>497</v>
      </c>
      <c r="L86" s="77" t="str">
        <f t="shared" si="6"/>
        <v>311000_Library</v>
      </c>
      <c r="M86" s="76" t="s">
        <v>308</v>
      </c>
      <c r="N86" s="78"/>
      <c r="O86" s="79" t="s">
        <v>310</v>
      </c>
      <c r="P86" s="79" t="s">
        <v>310</v>
      </c>
      <c r="Q86" s="79" t="s">
        <v>310</v>
      </c>
      <c r="R86" s="79" t="s">
        <v>310</v>
      </c>
      <c r="S86" s="79" t="s">
        <v>310</v>
      </c>
      <c r="T86" s="79" t="s">
        <v>310</v>
      </c>
      <c r="U86" s="79" t="s">
        <v>310</v>
      </c>
      <c r="V86" s="79" t="s">
        <v>310</v>
      </c>
      <c r="W86" s="79" t="s">
        <v>310</v>
      </c>
      <c r="X86" s="79" t="s">
        <v>310</v>
      </c>
      <c r="Y86" s="79" t="s">
        <v>310</v>
      </c>
      <c r="Z86" s="79" t="s">
        <v>310</v>
      </c>
      <c r="AA86" s="79" t="s">
        <v>310</v>
      </c>
      <c r="AB86" s="79" t="s">
        <v>310</v>
      </c>
      <c r="AC86" s="79" t="s">
        <v>310</v>
      </c>
      <c r="AD86" s="79" t="s">
        <v>310</v>
      </c>
      <c r="AE86" s="79" t="s">
        <v>310</v>
      </c>
      <c r="AF86" s="79" t="s">
        <v>310</v>
      </c>
      <c r="AG86" s="79" t="s">
        <v>310</v>
      </c>
      <c r="AH86" s="79" t="s">
        <v>310</v>
      </c>
      <c r="AI86" s="79" t="s">
        <v>310</v>
      </c>
      <c r="AJ86" s="79" t="s">
        <v>310</v>
      </c>
      <c r="AK86" s="79" t="s">
        <v>310</v>
      </c>
      <c r="AL86" s="79" t="s">
        <v>310</v>
      </c>
      <c r="AM86" s="79" t="s">
        <v>203</v>
      </c>
      <c r="AN86" s="79" t="s">
        <v>203</v>
      </c>
      <c r="AO86" s="79" t="s">
        <v>310</v>
      </c>
      <c r="AP86" s="79" t="s">
        <v>310</v>
      </c>
      <c r="AQ86" s="79" t="s">
        <v>310</v>
      </c>
      <c r="AR86" s="79" t="s">
        <v>310</v>
      </c>
      <c r="AS86" s="79" t="s">
        <v>310</v>
      </c>
      <c r="AT86" s="79" t="s">
        <v>310</v>
      </c>
      <c r="AU86" s="79" t="s">
        <v>310</v>
      </c>
      <c r="AV86" s="79" t="s">
        <v>310</v>
      </c>
      <c r="AW86" s="79" t="s">
        <v>310</v>
      </c>
      <c r="AX86" s="79" t="s">
        <v>310</v>
      </c>
      <c r="AY86" s="79" t="s">
        <v>310</v>
      </c>
      <c r="AZ86" s="79" t="s">
        <v>310</v>
      </c>
      <c r="BA86" s="79" t="s">
        <v>310</v>
      </c>
      <c r="BB86" s="79" t="s">
        <v>310</v>
      </c>
      <c r="BC86" s="79" t="s">
        <v>310</v>
      </c>
      <c r="BD86" s="79" t="s">
        <v>310</v>
      </c>
      <c r="BE86" s="79" t="s">
        <v>310</v>
      </c>
      <c r="BF86" s="79" t="s">
        <v>310</v>
      </c>
      <c r="BG86" s="79" t="s">
        <v>310</v>
      </c>
      <c r="BH86" s="79" t="s">
        <v>310</v>
      </c>
      <c r="BI86" s="79" t="s">
        <v>310</v>
      </c>
      <c r="BJ86" s="79" t="s">
        <v>310</v>
      </c>
    </row>
    <row r="87" spans="1:62" s="85" customFormat="1" x14ac:dyDescent="0.3">
      <c r="A87" s="43">
        <v>311005</v>
      </c>
      <c r="B87" s="44" t="s">
        <v>498</v>
      </c>
      <c r="C87" s="44" t="s">
        <v>499</v>
      </c>
      <c r="D87" s="44" t="str">
        <f t="shared" si="4"/>
        <v>311005_Subscriptions to online databases</v>
      </c>
      <c r="E87" s="81">
        <v>300000</v>
      </c>
      <c r="F87" s="81" t="s">
        <v>215</v>
      </c>
      <c r="G87" s="44" t="s">
        <v>198</v>
      </c>
      <c r="H87" s="44" t="str">
        <f t="shared" si="5"/>
        <v>300000_Supplies and utilities</v>
      </c>
      <c r="I87" s="81">
        <v>311000</v>
      </c>
      <c r="J87" s="81" t="s">
        <v>496</v>
      </c>
      <c r="K87" s="44" t="s">
        <v>497</v>
      </c>
      <c r="L87" s="44" t="str">
        <f t="shared" si="6"/>
        <v>311000_Library</v>
      </c>
      <c r="M87" s="82" t="s">
        <v>308</v>
      </c>
      <c r="N87" s="83"/>
      <c r="O87" s="84" t="s">
        <v>310</v>
      </c>
      <c r="P87" s="84" t="s">
        <v>310</v>
      </c>
      <c r="Q87" s="84" t="s">
        <v>310</v>
      </c>
      <c r="R87" s="84" t="s">
        <v>310</v>
      </c>
      <c r="S87" s="84" t="s">
        <v>310</v>
      </c>
      <c r="T87" s="84" t="s">
        <v>310</v>
      </c>
      <c r="U87" s="84" t="s">
        <v>310</v>
      </c>
      <c r="V87" s="84" t="s">
        <v>310</v>
      </c>
      <c r="W87" s="84" t="s">
        <v>310</v>
      </c>
      <c r="X87" s="84" t="s">
        <v>310</v>
      </c>
      <c r="Y87" s="84" t="s">
        <v>310</v>
      </c>
      <c r="Z87" s="84" t="s">
        <v>310</v>
      </c>
      <c r="AA87" s="84" t="s">
        <v>310</v>
      </c>
      <c r="AB87" s="84" t="s">
        <v>310</v>
      </c>
      <c r="AC87" s="84" t="s">
        <v>310</v>
      </c>
      <c r="AD87" s="84" t="s">
        <v>310</v>
      </c>
      <c r="AE87" s="84" t="s">
        <v>310</v>
      </c>
      <c r="AF87" s="84" t="s">
        <v>310</v>
      </c>
      <c r="AG87" s="84" t="s">
        <v>310</v>
      </c>
      <c r="AH87" s="84" t="s">
        <v>310</v>
      </c>
      <c r="AI87" s="84" t="s">
        <v>310</v>
      </c>
      <c r="AJ87" s="84" t="s">
        <v>310</v>
      </c>
      <c r="AK87" s="84" t="s">
        <v>310</v>
      </c>
      <c r="AL87" s="84" t="s">
        <v>310</v>
      </c>
      <c r="AM87" s="84" t="s">
        <v>203</v>
      </c>
      <c r="AN87" s="84" t="s">
        <v>203</v>
      </c>
      <c r="AO87" s="84" t="s">
        <v>310</v>
      </c>
      <c r="AP87" s="84" t="s">
        <v>310</v>
      </c>
      <c r="AQ87" s="84" t="s">
        <v>310</v>
      </c>
      <c r="AR87" s="84" t="s">
        <v>310</v>
      </c>
      <c r="AS87" s="84" t="s">
        <v>310</v>
      </c>
      <c r="AT87" s="84" t="s">
        <v>310</v>
      </c>
      <c r="AU87" s="84" t="s">
        <v>310</v>
      </c>
      <c r="AV87" s="84" t="s">
        <v>310</v>
      </c>
      <c r="AW87" s="84" t="s">
        <v>310</v>
      </c>
      <c r="AX87" s="84" t="s">
        <v>310</v>
      </c>
      <c r="AY87" s="84" t="s">
        <v>310</v>
      </c>
      <c r="AZ87" s="84" t="s">
        <v>310</v>
      </c>
      <c r="BA87" s="84" t="s">
        <v>310</v>
      </c>
      <c r="BB87" s="84" t="s">
        <v>310</v>
      </c>
      <c r="BC87" s="84" t="s">
        <v>310</v>
      </c>
      <c r="BD87" s="84" t="s">
        <v>310</v>
      </c>
      <c r="BE87" s="84" t="s">
        <v>310</v>
      </c>
      <c r="BF87" s="84" t="s">
        <v>310</v>
      </c>
      <c r="BG87" s="84" t="s">
        <v>310</v>
      </c>
      <c r="BH87" s="84" t="s">
        <v>310</v>
      </c>
      <c r="BI87" s="84" t="s">
        <v>310</v>
      </c>
      <c r="BJ87" s="84" t="s">
        <v>310</v>
      </c>
    </row>
    <row r="88" spans="1:62" s="80" customFormat="1" x14ac:dyDescent="0.3">
      <c r="A88" s="45">
        <v>401001</v>
      </c>
      <c r="B88" s="46" t="s">
        <v>227</v>
      </c>
      <c r="C88" s="46" t="s">
        <v>500</v>
      </c>
      <c r="D88" s="46" t="str">
        <f t="shared" si="4"/>
        <v>401001_Salary - faculty</v>
      </c>
      <c r="E88" s="76">
        <v>400000</v>
      </c>
      <c r="F88" s="76" t="s">
        <v>226</v>
      </c>
      <c r="G88" s="76" t="s">
        <v>197</v>
      </c>
      <c r="H88" s="77" t="str">
        <f t="shared" si="5"/>
        <v>400000_Personnel related expenses</v>
      </c>
      <c r="I88" s="76">
        <v>401000</v>
      </c>
      <c r="J88" s="76" t="s">
        <v>1</v>
      </c>
      <c r="K88" s="76" t="s">
        <v>501</v>
      </c>
      <c r="L88" s="77" t="str">
        <f t="shared" si="6"/>
        <v>401000_Salary</v>
      </c>
      <c r="M88" s="76" t="s">
        <v>308</v>
      </c>
      <c r="N88" s="78" t="s">
        <v>203</v>
      </c>
      <c r="O88" s="79" t="s">
        <v>203</v>
      </c>
      <c r="P88" s="79" t="s">
        <v>203</v>
      </c>
      <c r="Q88" s="79" t="s">
        <v>203</v>
      </c>
      <c r="R88" s="79" t="s">
        <v>203</v>
      </c>
      <c r="S88" s="79" t="s">
        <v>203</v>
      </c>
      <c r="T88" s="79" t="s">
        <v>203</v>
      </c>
      <c r="U88" s="79" t="s">
        <v>203</v>
      </c>
      <c r="V88" s="79" t="s">
        <v>203</v>
      </c>
      <c r="W88" s="79" t="s">
        <v>203</v>
      </c>
      <c r="X88" s="79" t="s">
        <v>203</v>
      </c>
      <c r="Y88" s="79" t="s">
        <v>203</v>
      </c>
      <c r="Z88" s="79" t="s">
        <v>203</v>
      </c>
      <c r="AA88" s="79" t="s">
        <v>203</v>
      </c>
      <c r="AB88" s="79" t="s">
        <v>203</v>
      </c>
      <c r="AC88" s="79" t="s">
        <v>203</v>
      </c>
      <c r="AD88" s="79" t="s">
        <v>203</v>
      </c>
      <c r="AE88" s="79" t="s">
        <v>203</v>
      </c>
      <c r="AF88" s="79" t="s">
        <v>203</v>
      </c>
      <c r="AG88" s="79" t="s">
        <v>203</v>
      </c>
      <c r="AH88" s="79" t="s">
        <v>203</v>
      </c>
      <c r="AI88" s="79" t="s">
        <v>203</v>
      </c>
      <c r="AJ88" s="79" t="s">
        <v>203</v>
      </c>
      <c r="AK88" s="79" t="s">
        <v>203</v>
      </c>
      <c r="AL88" s="79" t="s">
        <v>203</v>
      </c>
      <c r="AM88" s="79" t="s">
        <v>203</v>
      </c>
      <c r="AN88" s="79" t="s">
        <v>203</v>
      </c>
      <c r="AO88" s="79" t="s">
        <v>203</v>
      </c>
      <c r="AP88" s="79" t="s">
        <v>203</v>
      </c>
      <c r="AQ88" s="79" t="s">
        <v>310</v>
      </c>
      <c r="AR88" s="79" t="s">
        <v>310</v>
      </c>
      <c r="AS88" s="79" t="s">
        <v>310</v>
      </c>
      <c r="AT88" s="79" t="s">
        <v>310</v>
      </c>
      <c r="AU88" s="79" t="s">
        <v>310</v>
      </c>
      <c r="AV88" s="79" t="s">
        <v>310</v>
      </c>
      <c r="AW88" s="79" t="s">
        <v>310</v>
      </c>
      <c r="AX88" s="79" t="s">
        <v>310</v>
      </c>
      <c r="AY88" s="79" t="s">
        <v>310</v>
      </c>
      <c r="AZ88" s="79" t="s">
        <v>310</v>
      </c>
      <c r="BA88" s="79" t="s">
        <v>310</v>
      </c>
      <c r="BB88" s="79" t="s">
        <v>310</v>
      </c>
      <c r="BC88" s="79" t="s">
        <v>310</v>
      </c>
      <c r="BD88" s="79" t="s">
        <v>310</v>
      </c>
      <c r="BE88" s="79" t="s">
        <v>310</v>
      </c>
      <c r="BF88" s="79" t="s">
        <v>310</v>
      </c>
      <c r="BG88" s="79" t="s">
        <v>310</v>
      </c>
      <c r="BH88" s="79" t="s">
        <v>310</v>
      </c>
      <c r="BI88" s="79" t="s">
        <v>310</v>
      </c>
      <c r="BJ88" s="79" t="s">
        <v>310</v>
      </c>
    </row>
    <row r="89" spans="1:62" s="85" customFormat="1" x14ac:dyDescent="0.3">
      <c r="A89" s="43">
        <v>401002</v>
      </c>
      <c r="B89" s="44" t="s">
        <v>228</v>
      </c>
      <c r="C89" s="44" t="s">
        <v>502</v>
      </c>
      <c r="D89" s="44" t="str">
        <f t="shared" si="4"/>
        <v>401002_Salary - academic</v>
      </c>
      <c r="E89" s="81">
        <v>400000</v>
      </c>
      <c r="F89" s="81" t="s">
        <v>226</v>
      </c>
      <c r="G89" s="44" t="s">
        <v>197</v>
      </c>
      <c r="H89" s="44" t="str">
        <f t="shared" si="5"/>
        <v>400000_Personnel related expenses</v>
      </c>
      <c r="I89" s="81">
        <v>401000</v>
      </c>
      <c r="J89" s="81" t="s">
        <v>1</v>
      </c>
      <c r="K89" s="44" t="s">
        <v>501</v>
      </c>
      <c r="L89" s="44" t="str">
        <f t="shared" si="6"/>
        <v>401000_Salary</v>
      </c>
      <c r="M89" s="82" t="s">
        <v>308</v>
      </c>
      <c r="N89" s="83" t="s">
        <v>203</v>
      </c>
      <c r="O89" s="84" t="s">
        <v>310</v>
      </c>
      <c r="P89" s="84" t="s">
        <v>310</v>
      </c>
      <c r="Q89" s="84" t="s">
        <v>310</v>
      </c>
      <c r="R89" s="84" t="s">
        <v>310</v>
      </c>
      <c r="S89" s="84" t="s">
        <v>310</v>
      </c>
      <c r="T89" s="84" t="s">
        <v>310</v>
      </c>
      <c r="U89" s="84" t="s">
        <v>310</v>
      </c>
      <c r="V89" s="84" t="s">
        <v>310</v>
      </c>
      <c r="W89" s="84" t="s">
        <v>310</v>
      </c>
      <c r="X89" s="84" t="s">
        <v>310</v>
      </c>
      <c r="Y89" s="84" t="s">
        <v>310</v>
      </c>
      <c r="Z89" s="84" t="s">
        <v>310</v>
      </c>
      <c r="AA89" s="84" t="s">
        <v>310</v>
      </c>
      <c r="AB89" s="84" t="s">
        <v>310</v>
      </c>
      <c r="AC89" s="84" t="s">
        <v>310</v>
      </c>
      <c r="AD89" s="84" t="s">
        <v>203</v>
      </c>
      <c r="AE89" s="84" t="s">
        <v>203</v>
      </c>
      <c r="AF89" s="84" t="s">
        <v>203</v>
      </c>
      <c r="AG89" s="84" t="s">
        <v>203</v>
      </c>
      <c r="AH89" s="84" t="s">
        <v>203</v>
      </c>
      <c r="AI89" s="84" t="s">
        <v>203</v>
      </c>
      <c r="AJ89" s="84" t="s">
        <v>203</v>
      </c>
      <c r="AK89" s="84" t="s">
        <v>203</v>
      </c>
      <c r="AL89" s="84" t="s">
        <v>203</v>
      </c>
      <c r="AM89" s="84" t="s">
        <v>203</v>
      </c>
      <c r="AN89" s="84" t="s">
        <v>203</v>
      </c>
      <c r="AO89" s="84" t="s">
        <v>310</v>
      </c>
      <c r="AP89" s="84" t="s">
        <v>203</v>
      </c>
      <c r="AQ89" s="84" t="s">
        <v>310</v>
      </c>
      <c r="AR89" s="84" t="s">
        <v>310</v>
      </c>
      <c r="AS89" s="84" t="s">
        <v>310</v>
      </c>
      <c r="AT89" s="84" t="s">
        <v>310</v>
      </c>
      <c r="AU89" s="84" t="s">
        <v>310</v>
      </c>
      <c r="AV89" s="84" t="s">
        <v>310</v>
      </c>
      <c r="AW89" s="84" t="s">
        <v>310</v>
      </c>
      <c r="AX89" s="84" t="s">
        <v>310</v>
      </c>
      <c r="AY89" s="84" t="s">
        <v>310</v>
      </c>
      <c r="AZ89" s="84" t="s">
        <v>310</v>
      </c>
      <c r="BA89" s="84" t="s">
        <v>310</v>
      </c>
      <c r="BB89" s="84" t="s">
        <v>310</v>
      </c>
      <c r="BC89" s="84" t="s">
        <v>310</v>
      </c>
      <c r="BD89" s="84" t="s">
        <v>310</v>
      </c>
      <c r="BE89" s="84" t="s">
        <v>310</v>
      </c>
      <c r="BF89" s="84" t="s">
        <v>310</v>
      </c>
      <c r="BG89" s="84" t="s">
        <v>310</v>
      </c>
      <c r="BH89" s="84" t="s">
        <v>310</v>
      </c>
      <c r="BI89" s="84" t="s">
        <v>310</v>
      </c>
      <c r="BJ89" s="84" t="s">
        <v>310</v>
      </c>
    </row>
    <row r="90" spans="1:62" s="80" customFormat="1" x14ac:dyDescent="0.3">
      <c r="A90" s="45">
        <v>401003</v>
      </c>
      <c r="B90" s="46" t="s">
        <v>229</v>
      </c>
      <c r="C90" s="46" t="s">
        <v>503</v>
      </c>
      <c r="D90" s="46" t="str">
        <f t="shared" si="4"/>
        <v>401003_Salary - employees (excl. academic and faculty)</v>
      </c>
      <c r="E90" s="76">
        <v>400000</v>
      </c>
      <c r="F90" s="76" t="s">
        <v>226</v>
      </c>
      <c r="G90" s="76" t="s">
        <v>197</v>
      </c>
      <c r="H90" s="77" t="str">
        <f t="shared" si="5"/>
        <v>400000_Personnel related expenses</v>
      </c>
      <c r="I90" s="76">
        <v>401000</v>
      </c>
      <c r="J90" s="76" t="s">
        <v>1</v>
      </c>
      <c r="K90" s="76" t="s">
        <v>501</v>
      </c>
      <c r="L90" s="77" t="str">
        <f t="shared" si="6"/>
        <v>401000_Salary</v>
      </c>
      <c r="M90" s="76" t="s">
        <v>308</v>
      </c>
      <c r="N90" s="78" t="s">
        <v>203</v>
      </c>
      <c r="O90" s="79" t="s">
        <v>310</v>
      </c>
      <c r="P90" s="79" t="s">
        <v>310</v>
      </c>
      <c r="Q90" s="79" t="s">
        <v>310</v>
      </c>
      <c r="R90" s="79" t="s">
        <v>310</v>
      </c>
      <c r="S90" s="79" t="s">
        <v>310</v>
      </c>
      <c r="T90" s="79" t="s">
        <v>310</v>
      </c>
      <c r="U90" s="79" t="s">
        <v>310</v>
      </c>
      <c r="V90" s="79" t="s">
        <v>310</v>
      </c>
      <c r="W90" s="79" t="s">
        <v>310</v>
      </c>
      <c r="X90" s="79" t="s">
        <v>310</v>
      </c>
      <c r="Y90" s="79" t="s">
        <v>310</v>
      </c>
      <c r="Z90" s="79" t="s">
        <v>310</v>
      </c>
      <c r="AA90" s="79" t="s">
        <v>310</v>
      </c>
      <c r="AB90" s="79" t="s">
        <v>310</v>
      </c>
      <c r="AC90" s="79" t="s">
        <v>310</v>
      </c>
      <c r="AD90" s="79" t="s">
        <v>310</v>
      </c>
      <c r="AE90" s="79" t="s">
        <v>310</v>
      </c>
      <c r="AF90" s="79" t="s">
        <v>310</v>
      </c>
      <c r="AG90" s="79" t="s">
        <v>310</v>
      </c>
      <c r="AH90" s="79" t="s">
        <v>310</v>
      </c>
      <c r="AI90" s="79" t="s">
        <v>310</v>
      </c>
      <c r="AJ90" s="79" t="s">
        <v>310</v>
      </c>
      <c r="AK90" s="79" t="s">
        <v>310</v>
      </c>
      <c r="AL90" s="79" t="s">
        <v>310</v>
      </c>
      <c r="AM90" s="79" t="s">
        <v>310</v>
      </c>
      <c r="AN90" s="79" t="s">
        <v>310</v>
      </c>
      <c r="AO90" s="79" t="s">
        <v>310</v>
      </c>
      <c r="AP90" s="79" t="s">
        <v>310</v>
      </c>
      <c r="AQ90" s="79" t="s">
        <v>310</v>
      </c>
      <c r="AR90" s="79" t="s">
        <v>310</v>
      </c>
      <c r="AS90" s="79" t="s">
        <v>310</v>
      </c>
      <c r="AT90" s="79" t="s">
        <v>310</v>
      </c>
      <c r="AU90" s="79" t="s">
        <v>310</v>
      </c>
      <c r="AV90" s="79" t="s">
        <v>310</v>
      </c>
      <c r="AW90" s="79" t="s">
        <v>310</v>
      </c>
      <c r="AX90" s="79" t="s">
        <v>310</v>
      </c>
      <c r="AY90" s="79" t="s">
        <v>310</v>
      </c>
      <c r="AZ90" s="79" t="s">
        <v>310</v>
      </c>
      <c r="BA90" s="79" t="s">
        <v>310</v>
      </c>
      <c r="BB90" s="79" t="s">
        <v>310</v>
      </c>
      <c r="BC90" s="79" t="s">
        <v>310</v>
      </c>
      <c r="BD90" s="79" t="s">
        <v>310</v>
      </c>
      <c r="BE90" s="79" t="s">
        <v>310</v>
      </c>
      <c r="BF90" s="79" t="s">
        <v>310</v>
      </c>
      <c r="BG90" s="79" t="s">
        <v>310</v>
      </c>
      <c r="BH90" s="79" t="s">
        <v>310</v>
      </c>
      <c r="BI90" s="79" t="s">
        <v>310</v>
      </c>
      <c r="BJ90" s="79" t="s">
        <v>310</v>
      </c>
    </row>
    <row r="91" spans="1:62" s="85" customFormat="1" x14ac:dyDescent="0.3">
      <c r="A91" s="43">
        <v>401099</v>
      </c>
      <c r="B91" s="44" t="s">
        <v>504</v>
      </c>
      <c r="C91" s="44" t="s">
        <v>505</v>
      </c>
      <c r="D91" s="44" t="str">
        <f t="shared" si="4"/>
        <v>401099_Salary - substitution</v>
      </c>
      <c r="E91" s="81">
        <v>400000</v>
      </c>
      <c r="F91" s="81" t="s">
        <v>226</v>
      </c>
      <c r="G91" s="44" t="s">
        <v>197</v>
      </c>
      <c r="H91" s="44" t="str">
        <f t="shared" si="5"/>
        <v>400000_Personnel related expenses</v>
      </c>
      <c r="I91" s="81">
        <v>401000</v>
      </c>
      <c r="J91" s="81" t="s">
        <v>1</v>
      </c>
      <c r="K91" s="44" t="s">
        <v>501</v>
      </c>
      <c r="L91" s="44" t="str">
        <f t="shared" si="6"/>
        <v>401000_Salary</v>
      </c>
      <c r="M91" s="82" t="s">
        <v>350</v>
      </c>
      <c r="N91" s="83" t="s">
        <v>203</v>
      </c>
      <c r="O91" s="84" t="s">
        <v>310</v>
      </c>
      <c r="P91" s="84" t="s">
        <v>310</v>
      </c>
      <c r="Q91" s="84" t="s">
        <v>310</v>
      </c>
      <c r="R91" s="84" t="s">
        <v>310</v>
      </c>
      <c r="S91" s="84" t="s">
        <v>310</v>
      </c>
      <c r="T91" s="84" t="s">
        <v>310</v>
      </c>
      <c r="U91" s="84" t="s">
        <v>310</v>
      </c>
      <c r="V91" s="84" t="s">
        <v>310</v>
      </c>
      <c r="W91" s="84" t="s">
        <v>310</v>
      </c>
      <c r="X91" s="84" t="s">
        <v>310</v>
      </c>
      <c r="Y91" s="84" t="s">
        <v>310</v>
      </c>
      <c r="Z91" s="84" t="s">
        <v>310</v>
      </c>
      <c r="AA91" s="84" t="s">
        <v>310</v>
      </c>
      <c r="AB91" s="84" t="s">
        <v>310</v>
      </c>
      <c r="AC91" s="84" t="s">
        <v>310</v>
      </c>
      <c r="AD91" s="84" t="s">
        <v>310</v>
      </c>
      <c r="AE91" s="84" t="s">
        <v>310</v>
      </c>
      <c r="AF91" s="84" t="s">
        <v>310</v>
      </c>
      <c r="AG91" s="84" t="s">
        <v>310</v>
      </c>
      <c r="AH91" s="84" t="s">
        <v>310</v>
      </c>
      <c r="AI91" s="84" t="s">
        <v>310</v>
      </c>
      <c r="AJ91" s="84" t="s">
        <v>310</v>
      </c>
      <c r="AK91" s="84" t="s">
        <v>310</v>
      </c>
      <c r="AL91" s="84" t="s">
        <v>310</v>
      </c>
      <c r="AM91" s="84" t="s">
        <v>310</v>
      </c>
      <c r="AN91" s="84" t="s">
        <v>310</v>
      </c>
      <c r="AO91" s="84" t="s">
        <v>310</v>
      </c>
      <c r="AP91" s="84" t="s">
        <v>310</v>
      </c>
      <c r="AQ91" s="84" t="s">
        <v>310</v>
      </c>
      <c r="AR91" s="84" t="s">
        <v>310</v>
      </c>
      <c r="AS91" s="84" t="s">
        <v>310</v>
      </c>
      <c r="AT91" s="84" t="s">
        <v>310</v>
      </c>
      <c r="AU91" s="84" t="s">
        <v>310</v>
      </c>
      <c r="AV91" s="84" t="s">
        <v>310</v>
      </c>
      <c r="AW91" s="84" t="s">
        <v>310</v>
      </c>
      <c r="AX91" s="84" t="s">
        <v>310</v>
      </c>
      <c r="AY91" s="84" t="s">
        <v>310</v>
      </c>
      <c r="AZ91" s="84" t="s">
        <v>310</v>
      </c>
      <c r="BA91" s="84" t="s">
        <v>310</v>
      </c>
      <c r="BB91" s="84" t="s">
        <v>310</v>
      </c>
      <c r="BC91" s="84" t="s">
        <v>310</v>
      </c>
      <c r="BD91" s="84" t="s">
        <v>310</v>
      </c>
      <c r="BE91" s="84" t="s">
        <v>310</v>
      </c>
      <c r="BF91" s="84" t="s">
        <v>310</v>
      </c>
      <c r="BG91" s="84" t="s">
        <v>310</v>
      </c>
      <c r="BH91" s="84" t="s">
        <v>310</v>
      </c>
      <c r="BI91" s="84" t="s">
        <v>310</v>
      </c>
      <c r="BJ91" s="84" t="s">
        <v>310</v>
      </c>
    </row>
    <row r="92" spans="1:62" s="80" customFormat="1" x14ac:dyDescent="0.3">
      <c r="A92" s="45">
        <v>402001</v>
      </c>
      <c r="B92" s="46" t="s">
        <v>231</v>
      </c>
      <c r="C92" s="46" t="s">
        <v>506</v>
      </c>
      <c r="D92" s="46" t="str">
        <f t="shared" si="4"/>
        <v>402001_Bonus - faculty</v>
      </c>
      <c r="E92" s="76">
        <v>400000</v>
      </c>
      <c r="F92" s="76" t="s">
        <v>226</v>
      </c>
      <c r="G92" s="76" t="s">
        <v>197</v>
      </c>
      <c r="H92" s="77" t="str">
        <f t="shared" si="5"/>
        <v>400000_Personnel related expenses</v>
      </c>
      <c r="I92" s="76">
        <v>402000</v>
      </c>
      <c r="J92" s="76" t="s">
        <v>230</v>
      </c>
      <c r="K92" s="76" t="s">
        <v>507</v>
      </c>
      <c r="L92" s="77" t="str">
        <f t="shared" si="6"/>
        <v>402000_Bonus</v>
      </c>
      <c r="M92" s="76" t="s">
        <v>308</v>
      </c>
      <c r="N92" s="78" t="s">
        <v>203</v>
      </c>
      <c r="O92" s="79" t="s">
        <v>203</v>
      </c>
      <c r="P92" s="79" t="s">
        <v>203</v>
      </c>
      <c r="Q92" s="79" t="s">
        <v>203</v>
      </c>
      <c r="R92" s="79" t="s">
        <v>203</v>
      </c>
      <c r="S92" s="79" t="s">
        <v>203</v>
      </c>
      <c r="T92" s="79" t="s">
        <v>203</v>
      </c>
      <c r="U92" s="79" t="s">
        <v>203</v>
      </c>
      <c r="V92" s="79" t="s">
        <v>203</v>
      </c>
      <c r="W92" s="79" t="s">
        <v>203</v>
      </c>
      <c r="X92" s="79" t="s">
        <v>203</v>
      </c>
      <c r="Y92" s="79" t="s">
        <v>203</v>
      </c>
      <c r="Z92" s="79" t="s">
        <v>203</v>
      </c>
      <c r="AA92" s="79" t="s">
        <v>203</v>
      </c>
      <c r="AB92" s="79" t="s">
        <v>203</v>
      </c>
      <c r="AC92" s="79" t="s">
        <v>203</v>
      </c>
      <c r="AD92" s="79" t="s">
        <v>203</v>
      </c>
      <c r="AE92" s="79" t="s">
        <v>203</v>
      </c>
      <c r="AF92" s="79" t="s">
        <v>203</v>
      </c>
      <c r="AG92" s="79" t="s">
        <v>203</v>
      </c>
      <c r="AH92" s="79" t="s">
        <v>203</v>
      </c>
      <c r="AI92" s="79" t="s">
        <v>203</v>
      </c>
      <c r="AJ92" s="79" t="s">
        <v>203</v>
      </c>
      <c r="AK92" s="79" t="s">
        <v>203</v>
      </c>
      <c r="AL92" s="79" t="s">
        <v>203</v>
      </c>
      <c r="AM92" s="79" t="s">
        <v>203</v>
      </c>
      <c r="AN92" s="79" t="s">
        <v>203</v>
      </c>
      <c r="AO92" s="79" t="s">
        <v>203</v>
      </c>
      <c r="AP92" s="79" t="s">
        <v>203</v>
      </c>
      <c r="AQ92" s="79" t="s">
        <v>310</v>
      </c>
      <c r="AR92" s="79" t="s">
        <v>310</v>
      </c>
      <c r="AS92" s="79" t="s">
        <v>203</v>
      </c>
      <c r="AT92" s="79" t="s">
        <v>310</v>
      </c>
      <c r="AU92" s="79" t="s">
        <v>310</v>
      </c>
      <c r="AV92" s="79" t="s">
        <v>310</v>
      </c>
      <c r="AW92" s="79" t="s">
        <v>310</v>
      </c>
      <c r="AX92" s="79" t="s">
        <v>310</v>
      </c>
      <c r="AY92" s="79" t="s">
        <v>310</v>
      </c>
      <c r="AZ92" s="79" t="s">
        <v>310</v>
      </c>
      <c r="BA92" s="79" t="s">
        <v>310</v>
      </c>
      <c r="BB92" s="79" t="s">
        <v>310</v>
      </c>
      <c r="BC92" s="79" t="s">
        <v>310</v>
      </c>
      <c r="BD92" s="79" t="s">
        <v>310</v>
      </c>
      <c r="BE92" s="79" t="s">
        <v>310</v>
      </c>
      <c r="BF92" s="79" t="s">
        <v>310</v>
      </c>
      <c r="BG92" s="79" t="s">
        <v>310</v>
      </c>
      <c r="BH92" s="79" t="s">
        <v>310</v>
      </c>
      <c r="BI92" s="79" t="s">
        <v>310</v>
      </c>
      <c r="BJ92" s="79" t="s">
        <v>310</v>
      </c>
    </row>
    <row r="93" spans="1:62" s="85" customFormat="1" x14ac:dyDescent="0.3">
      <c r="A93" s="43">
        <v>402002</v>
      </c>
      <c r="B93" s="44" t="s">
        <v>508</v>
      </c>
      <c r="C93" s="44" t="s">
        <v>509</v>
      </c>
      <c r="D93" s="44" t="str">
        <f t="shared" si="4"/>
        <v>402002_Bonus - academic</v>
      </c>
      <c r="E93" s="81">
        <v>400000</v>
      </c>
      <c r="F93" s="81" t="s">
        <v>226</v>
      </c>
      <c r="G93" s="44" t="s">
        <v>197</v>
      </c>
      <c r="H93" s="44" t="str">
        <f t="shared" si="5"/>
        <v>400000_Personnel related expenses</v>
      </c>
      <c r="I93" s="81">
        <v>402000</v>
      </c>
      <c r="J93" s="81" t="s">
        <v>230</v>
      </c>
      <c r="K93" s="44" t="s">
        <v>507</v>
      </c>
      <c r="L93" s="44" t="str">
        <f t="shared" si="6"/>
        <v>402000_Bonus</v>
      </c>
      <c r="M93" s="82" t="s">
        <v>308</v>
      </c>
      <c r="N93" s="83" t="s">
        <v>203</v>
      </c>
      <c r="O93" s="84" t="s">
        <v>310</v>
      </c>
      <c r="P93" s="84" t="s">
        <v>310</v>
      </c>
      <c r="Q93" s="84" t="s">
        <v>310</v>
      </c>
      <c r="R93" s="84" t="s">
        <v>310</v>
      </c>
      <c r="S93" s="84" t="s">
        <v>310</v>
      </c>
      <c r="T93" s="84" t="s">
        <v>310</v>
      </c>
      <c r="U93" s="84" t="s">
        <v>310</v>
      </c>
      <c r="V93" s="84" t="s">
        <v>310</v>
      </c>
      <c r="W93" s="84" t="s">
        <v>310</v>
      </c>
      <c r="X93" s="84" t="s">
        <v>310</v>
      </c>
      <c r="Y93" s="84" t="s">
        <v>310</v>
      </c>
      <c r="Z93" s="84" t="s">
        <v>310</v>
      </c>
      <c r="AA93" s="84" t="s">
        <v>310</v>
      </c>
      <c r="AB93" s="84" t="s">
        <v>310</v>
      </c>
      <c r="AC93" s="84" t="s">
        <v>310</v>
      </c>
      <c r="AD93" s="84" t="s">
        <v>203</v>
      </c>
      <c r="AE93" s="84" t="s">
        <v>203</v>
      </c>
      <c r="AF93" s="84" t="s">
        <v>203</v>
      </c>
      <c r="AG93" s="84" t="s">
        <v>203</v>
      </c>
      <c r="AH93" s="84" t="s">
        <v>203</v>
      </c>
      <c r="AI93" s="84" t="s">
        <v>203</v>
      </c>
      <c r="AJ93" s="84" t="s">
        <v>203</v>
      </c>
      <c r="AK93" s="84" t="s">
        <v>203</v>
      </c>
      <c r="AL93" s="84" t="s">
        <v>203</v>
      </c>
      <c r="AM93" s="84" t="s">
        <v>203</v>
      </c>
      <c r="AN93" s="84" t="s">
        <v>203</v>
      </c>
      <c r="AO93" s="84" t="s">
        <v>310</v>
      </c>
      <c r="AP93" s="84" t="s">
        <v>203</v>
      </c>
      <c r="AQ93" s="84" t="s">
        <v>310</v>
      </c>
      <c r="AR93" s="84" t="s">
        <v>310</v>
      </c>
      <c r="AS93" s="84" t="s">
        <v>310</v>
      </c>
      <c r="AT93" s="84" t="s">
        <v>310</v>
      </c>
      <c r="AU93" s="84" t="s">
        <v>310</v>
      </c>
      <c r="AV93" s="84" t="s">
        <v>310</v>
      </c>
      <c r="AW93" s="84" t="s">
        <v>310</v>
      </c>
      <c r="AX93" s="84" t="s">
        <v>310</v>
      </c>
      <c r="AY93" s="84" t="s">
        <v>310</v>
      </c>
      <c r="AZ93" s="84" t="s">
        <v>310</v>
      </c>
      <c r="BA93" s="84" t="s">
        <v>310</v>
      </c>
      <c r="BB93" s="84" t="s">
        <v>310</v>
      </c>
      <c r="BC93" s="84" t="s">
        <v>310</v>
      </c>
      <c r="BD93" s="84" t="s">
        <v>310</v>
      </c>
      <c r="BE93" s="84" t="s">
        <v>310</v>
      </c>
      <c r="BF93" s="84" t="s">
        <v>310</v>
      </c>
      <c r="BG93" s="84" t="s">
        <v>310</v>
      </c>
      <c r="BH93" s="84" t="s">
        <v>310</v>
      </c>
      <c r="BI93" s="84" t="s">
        <v>310</v>
      </c>
      <c r="BJ93" s="84" t="s">
        <v>310</v>
      </c>
    </row>
    <row r="94" spans="1:62" s="80" customFormat="1" x14ac:dyDescent="0.3">
      <c r="A94" s="45">
        <v>402003</v>
      </c>
      <c r="B94" s="46" t="s">
        <v>510</v>
      </c>
      <c r="C94" s="46" t="s">
        <v>511</v>
      </c>
      <c r="D94" s="46" t="str">
        <f t="shared" si="4"/>
        <v>402003_Bonus - employees (excl. academic and faculty)</v>
      </c>
      <c r="E94" s="76">
        <v>400000</v>
      </c>
      <c r="F94" s="76" t="s">
        <v>226</v>
      </c>
      <c r="G94" s="76" t="s">
        <v>197</v>
      </c>
      <c r="H94" s="77" t="str">
        <f t="shared" si="5"/>
        <v>400000_Personnel related expenses</v>
      </c>
      <c r="I94" s="76">
        <v>402000</v>
      </c>
      <c r="J94" s="76" t="s">
        <v>230</v>
      </c>
      <c r="K94" s="76" t="s">
        <v>507</v>
      </c>
      <c r="L94" s="77" t="str">
        <f t="shared" si="6"/>
        <v>402000_Bonus</v>
      </c>
      <c r="M94" s="76" t="s">
        <v>308</v>
      </c>
      <c r="N94" s="78" t="s">
        <v>203</v>
      </c>
      <c r="O94" s="79" t="s">
        <v>310</v>
      </c>
      <c r="P94" s="79" t="s">
        <v>310</v>
      </c>
      <c r="Q94" s="79" t="s">
        <v>310</v>
      </c>
      <c r="R94" s="79" t="s">
        <v>310</v>
      </c>
      <c r="S94" s="79" t="s">
        <v>310</v>
      </c>
      <c r="T94" s="79" t="s">
        <v>310</v>
      </c>
      <c r="U94" s="79" t="s">
        <v>310</v>
      </c>
      <c r="V94" s="79" t="s">
        <v>310</v>
      </c>
      <c r="W94" s="79" t="s">
        <v>310</v>
      </c>
      <c r="X94" s="79" t="s">
        <v>310</v>
      </c>
      <c r="Y94" s="79" t="s">
        <v>310</v>
      </c>
      <c r="Z94" s="79" t="s">
        <v>310</v>
      </c>
      <c r="AA94" s="79" t="s">
        <v>310</v>
      </c>
      <c r="AB94" s="79" t="s">
        <v>310</v>
      </c>
      <c r="AC94" s="79" t="s">
        <v>310</v>
      </c>
      <c r="AD94" s="79" t="s">
        <v>310</v>
      </c>
      <c r="AE94" s="79" t="s">
        <v>310</v>
      </c>
      <c r="AF94" s="79" t="s">
        <v>310</v>
      </c>
      <c r="AG94" s="79" t="s">
        <v>310</v>
      </c>
      <c r="AH94" s="79" t="s">
        <v>310</v>
      </c>
      <c r="AI94" s="79" t="s">
        <v>310</v>
      </c>
      <c r="AJ94" s="79" t="s">
        <v>310</v>
      </c>
      <c r="AK94" s="79" t="s">
        <v>310</v>
      </c>
      <c r="AL94" s="79" t="s">
        <v>310</v>
      </c>
      <c r="AM94" s="79" t="s">
        <v>310</v>
      </c>
      <c r="AN94" s="79" t="s">
        <v>310</v>
      </c>
      <c r="AO94" s="79" t="s">
        <v>310</v>
      </c>
      <c r="AP94" s="79" t="s">
        <v>310</v>
      </c>
      <c r="AQ94" s="79" t="s">
        <v>310</v>
      </c>
      <c r="AR94" s="79" t="s">
        <v>310</v>
      </c>
      <c r="AS94" s="79" t="s">
        <v>310</v>
      </c>
      <c r="AT94" s="79" t="s">
        <v>310</v>
      </c>
      <c r="AU94" s="79" t="s">
        <v>310</v>
      </c>
      <c r="AV94" s="79" t="s">
        <v>310</v>
      </c>
      <c r="AW94" s="79" t="s">
        <v>310</v>
      </c>
      <c r="AX94" s="79" t="s">
        <v>310</v>
      </c>
      <c r="AY94" s="79" t="s">
        <v>310</v>
      </c>
      <c r="AZ94" s="79" t="s">
        <v>310</v>
      </c>
      <c r="BA94" s="79" t="s">
        <v>310</v>
      </c>
      <c r="BB94" s="79" t="s">
        <v>310</v>
      </c>
      <c r="BC94" s="79" t="s">
        <v>310</v>
      </c>
      <c r="BD94" s="79" t="s">
        <v>310</v>
      </c>
      <c r="BE94" s="79" t="s">
        <v>310</v>
      </c>
      <c r="BF94" s="79" t="s">
        <v>310</v>
      </c>
      <c r="BG94" s="79" t="s">
        <v>310</v>
      </c>
      <c r="BH94" s="79" t="s">
        <v>310</v>
      </c>
      <c r="BI94" s="79" t="s">
        <v>310</v>
      </c>
      <c r="BJ94" s="79" t="s">
        <v>310</v>
      </c>
    </row>
    <row r="95" spans="1:62" s="85" customFormat="1" x14ac:dyDescent="0.3">
      <c r="A95" s="43">
        <v>403001</v>
      </c>
      <c r="B95" s="44" t="s">
        <v>512</v>
      </c>
      <c r="C95" s="44" t="s">
        <v>513</v>
      </c>
      <c r="D95" s="44" t="str">
        <f t="shared" si="4"/>
        <v>403001_Grant payments (excl. personal income tax)</v>
      </c>
      <c r="E95" s="81">
        <v>400000</v>
      </c>
      <c r="F95" s="81" t="s">
        <v>226</v>
      </c>
      <c r="G95" s="44" t="s">
        <v>197</v>
      </c>
      <c r="H95" s="44" t="str">
        <f t="shared" si="5"/>
        <v>400000_Personnel related expenses</v>
      </c>
      <c r="I95" s="81">
        <v>403000</v>
      </c>
      <c r="J95" s="81" t="s">
        <v>514</v>
      </c>
      <c r="K95" s="44" t="s">
        <v>515</v>
      </c>
      <c r="L95" s="44" t="str">
        <f t="shared" si="6"/>
        <v>403000_Grant payments</v>
      </c>
      <c r="M95" s="82" t="s">
        <v>308</v>
      </c>
      <c r="N95" s="83" t="s">
        <v>203</v>
      </c>
      <c r="O95" s="84" t="s">
        <v>203</v>
      </c>
      <c r="P95" s="84" t="s">
        <v>203</v>
      </c>
      <c r="Q95" s="84" t="s">
        <v>203</v>
      </c>
      <c r="R95" s="84" t="s">
        <v>203</v>
      </c>
      <c r="S95" s="84" t="s">
        <v>203</v>
      </c>
      <c r="T95" s="84" t="s">
        <v>203</v>
      </c>
      <c r="U95" s="84" t="s">
        <v>203</v>
      </c>
      <c r="V95" s="84" t="s">
        <v>203</v>
      </c>
      <c r="W95" s="84" t="s">
        <v>203</v>
      </c>
      <c r="X95" s="84" t="s">
        <v>203</v>
      </c>
      <c r="Y95" s="84" t="s">
        <v>203</v>
      </c>
      <c r="Z95" s="84" t="s">
        <v>203</v>
      </c>
      <c r="AA95" s="84" t="s">
        <v>203</v>
      </c>
      <c r="AB95" s="84" t="s">
        <v>203</v>
      </c>
      <c r="AC95" s="84" t="s">
        <v>203</v>
      </c>
      <c r="AD95" s="84" t="s">
        <v>203</v>
      </c>
      <c r="AE95" s="84" t="s">
        <v>203</v>
      </c>
      <c r="AF95" s="84" t="s">
        <v>203</v>
      </c>
      <c r="AG95" s="84" t="s">
        <v>203</v>
      </c>
      <c r="AH95" s="84" t="s">
        <v>203</v>
      </c>
      <c r="AI95" s="84" t="s">
        <v>203</v>
      </c>
      <c r="AJ95" s="84" t="s">
        <v>203</v>
      </c>
      <c r="AK95" s="84" t="s">
        <v>203</v>
      </c>
      <c r="AL95" s="84" t="s">
        <v>203</v>
      </c>
      <c r="AM95" s="84" t="s">
        <v>203</v>
      </c>
      <c r="AN95" s="84" t="s">
        <v>203</v>
      </c>
      <c r="AO95" s="84" t="s">
        <v>203</v>
      </c>
      <c r="AP95" s="84" t="s">
        <v>203</v>
      </c>
      <c r="AQ95" s="84" t="s">
        <v>203</v>
      </c>
      <c r="AR95" s="84" t="s">
        <v>203</v>
      </c>
      <c r="AS95" s="84" t="s">
        <v>203</v>
      </c>
      <c r="AT95" s="84" t="s">
        <v>310</v>
      </c>
      <c r="AU95" s="84" t="s">
        <v>310</v>
      </c>
      <c r="AV95" s="84" t="s">
        <v>310</v>
      </c>
      <c r="AW95" s="84" t="s">
        <v>310</v>
      </c>
      <c r="AX95" s="84" t="s">
        <v>310</v>
      </c>
      <c r="AY95" s="84" t="s">
        <v>310</v>
      </c>
      <c r="AZ95" s="84" t="s">
        <v>310</v>
      </c>
      <c r="BA95" s="84" t="s">
        <v>310</v>
      </c>
      <c r="BB95" s="84" t="s">
        <v>310</v>
      </c>
      <c r="BC95" s="84" t="s">
        <v>310</v>
      </c>
      <c r="BD95" s="84" t="s">
        <v>310</v>
      </c>
      <c r="BE95" s="84" t="s">
        <v>310</v>
      </c>
      <c r="BF95" s="84" t="s">
        <v>310</v>
      </c>
      <c r="BG95" s="84" t="s">
        <v>310</v>
      </c>
      <c r="BH95" s="84" t="s">
        <v>310</v>
      </c>
      <c r="BI95" s="84" t="s">
        <v>310</v>
      </c>
      <c r="BJ95" s="84" t="s">
        <v>310</v>
      </c>
    </row>
    <row r="96" spans="1:62" s="80" customFormat="1" x14ac:dyDescent="0.3">
      <c r="A96" s="45">
        <v>403002</v>
      </c>
      <c r="B96" s="46" t="s">
        <v>516</v>
      </c>
      <c r="C96" s="46" t="s">
        <v>517</v>
      </c>
      <c r="D96" s="46" t="str">
        <f t="shared" si="4"/>
        <v>403002_Grant payments (incl. personal income tax)</v>
      </c>
      <c r="E96" s="76">
        <v>400000</v>
      </c>
      <c r="F96" s="76" t="s">
        <v>226</v>
      </c>
      <c r="G96" s="76" t="s">
        <v>197</v>
      </c>
      <c r="H96" s="77" t="str">
        <f t="shared" si="5"/>
        <v>400000_Personnel related expenses</v>
      </c>
      <c r="I96" s="76">
        <v>403000</v>
      </c>
      <c r="J96" s="76" t="s">
        <v>514</v>
      </c>
      <c r="K96" s="76" t="s">
        <v>515</v>
      </c>
      <c r="L96" s="77" t="str">
        <f t="shared" si="6"/>
        <v>403000_Grant payments</v>
      </c>
      <c r="M96" s="76" t="s">
        <v>308</v>
      </c>
      <c r="N96" s="78" t="s">
        <v>203</v>
      </c>
      <c r="O96" s="79" t="s">
        <v>203</v>
      </c>
      <c r="P96" s="79" t="s">
        <v>203</v>
      </c>
      <c r="Q96" s="79" t="s">
        <v>203</v>
      </c>
      <c r="R96" s="79" t="s">
        <v>203</v>
      </c>
      <c r="S96" s="79" t="s">
        <v>203</v>
      </c>
      <c r="T96" s="79" t="s">
        <v>203</v>
      </c>
      <c r="U96" s="79" t="s">
        <v>203</v>
      </c>
      <c r="V96" s="79" t="s">
        <v>203</v>
      </c>
      <c r="W96" s="79" t="s">
        <v>203</v>
      </c>
      <c r="X96" s="79" t="s">
        <v>203</v>
      </c>
      <c r="Y96" s="79" t="s">
        <v>203</v>
      </c>
      <c r="Z96" s="79" t="s">
        <v>203</v>
      </c>
      <c r="AA96" s="79" t="s">
        <v>203</v>
      </c>
      <c r="AB96" s="79" t="s">
        <v>203</v>
      </c>
      <c r="AC96" s="79" t="s">
        <v>203</v>
      </c>
      <c r="AD96" s="79" t="s">
        <v>203</v>
      </c>
      <c r="AE96" s="79" t="s">
        <v>203</v>
      </c>
      <c r="AF96" s="79" t="s">
        <v>203</v>
      </c>
      <c r="AG96" s="79" t="s">
        <v>203</v>
      </c>
      <c r="AH96" s="79" t="s">
        <v>203</v>
      </c>
      <c r="AI96" s="79" t="s">
        <v>203</v>
      </c>
      <c r="AJ96" s="79" t="s">
        <v>203</v>
      </c>
      <c r="AK96" s="79" t="s">
        <v>203</v>
      </c>
      <c r="AL96" s="79" t="s">
        <v>203</v>
      </c>
      <c r="AM96" s="79" t="s">
        <v>203</v>
      </c>
      <c r="AN96" s="79" t="s">
        <v>203</v>
      </c>
      <c r="AO96" s="79" t="s">
        <v>203</v>
      </c>
      <c r="AP96" s="79" t="s">
        <v>203</v>
      </c>
      <c r="AQ96" s="79" t="s">
        <v>203</v>
      </c>
      <c r="AR96" s="79" t="s">
        <v>203</v>
      </c>
      <c r="AS96" s="79" t="s">
        <v>203</v>
      </c>
      <c r="AT96" s="79" t="s">
        <v>310</v>
      </c>
      <c r="AU96" s="79" t="s">
        <v>310</v>
      </c>
      <c r="AV96" s="79" t="s">
        <v>310</v>
      </c>
      <c r="AW96" s="79" t="s">
        <v>310</v>
      </c>
      <c r="AX96" s="79" t="s">
        <v>310</v>
      </c>
      <c r="AY96" s="79" t="s">
        <v>310</v>
      </c>
      <c r="AZ96" s="79" t="s">
        <v>310</v>
      </c>
      <c r="BA96" s="79" t="s">
        <v>310</v>
      </c>
      <c r="BB96" s="79" t="s">
        <v>310</v>
      </c>
      <c r="BC96" s="79" t="s">
        <v>310</v>
      </c>
      <c r="BD96" s="79" t="s">
        <v>310</v>
      </c>
      <c r="BE96" s="79" t="s">
        <v>310</v>
      </c>
      <c r="BF96" s="79" t="s">
        <v>310</v>
      </c>
      <c r="BG96" s="79" t="s">
        <v>310</v>
      </c>
      <c r="BH96" s="79" t="s">
        <v>310</v>
      </c>
      <c r="BI96" s="79" t="s">
        <v>310</v>
      </c>
      <c r="BJ96" s="79" t="s">
        <v>310</v>
      </c>
    </row>
    <row r="97" spans="1:62" s="85" customFormat="1" x14ac:dyDescent="0.3">
      <c r="A97" s="43">
        <v>403003</v>
      </c>
      <c r="B97" s="44" t="s">
        <v>518</v>
      </c>
      <c r="C97" s="44" t="s">
        <v>519</v>
      </c>
      <c r="D97" s="44" t="str">
        <f t="shared" si="4"/>
        <v>403003_Target contribution for grants</v>
      </c>
      <c r="E97" s="81">
        <v>400000</v>
      </c>
      <c r="F97" s="81" t="s">
        <v>226</v>
      </c>
      <c r="G97" s="44" t="s">
        <v>197</v>
      </c>
      <c r="H97" s="44" t="str">
        <f t="shared" si="5"/>
        <v>400000_Personnel related expenses</v>
      </c>
      <c r="I97" s="81">
        <v>403000</v>
      </c>
      <c r="J97" s="81" t="s">
        <v>514</v>
      </c>
      <c r="K97" s="44" t="s">
        <v>515</v>
      </c>
      <c r="L97" s="44" t="str">
        <f t="shared" si="6"/>
        <v>403000_Grant payments</v>
      </c>
      <c r="M97" s="82" t="s">
        <v>308</v>
      </c>
      <c r="N97" s="83" t="s">
        <v>203</v>
      </c>
      <c r="O97" s="84" t="s">
        <v>203</v>
      </c>
      <c r="P97" s="84" t="s">
        <v>203</v>
      </c>
      <c r="Q97" s="84" t="s">
        <v>203</v>
      </c>
      <c r="R97" s="84" t="s">
        <v>203</v>
      </c>
      <c r="S97" s="84" t="s">
        <v>203</v>
      </c>
      <c r="T97" s="84" t="s">
        <v>203</v>
      </c>
      <c r="U97" s="84" t="s">
        <v>203</v>
      </c>
      <c r="V97" s="84" t="s">
        <v>203</v>
      </c>
      <c r="W97" s="84" t="s">
        <v>203</v>
      </c>
      <c r="X97" s="84" t="s">
        <v>203</v>
      </c>
      <c r="Y97" s="84" t="s">
        <v>203</v>
      </c>
      <c r="Z97" s="84" t="s">
        <v>203</v>
      </c>
      <c r="AA97" s="84" t="s">
        <v>203</v>
      </c>
      <c r="AB97" s="84" t="s">
        <v>310</v>
      </c>
      <c r="AC97" s="84" t="s">
        <v>203</v>
      </c>
      <c r="AD97" s="84" t="s">
        <v>203</v>
      </c>
      <c r="AE97" s="84" t="s">
        <v>203</v>
      </c>
      <c r="AF97" s="84" t="s">
        <v>203</v>
      </c>
      <c r="AG97" s="84" t="s">
        <v>203</v>
      </c>
      <c r="AH97" s="84" t="s">
        <v>203</v>
      </c>
      <c r="AI97" s="84" t="s">
        <v>203</v>
      </c>
      <c r="AJ97" s="84" t="s">
        <v>203</v>
      </c>
      <c r="AK97" s="84" t="s">
        <v>203</v>
      </c>
      <c r="AL97" s="84" t="s">
        <v>203</v>
      </c>
      <c r="AM97" s="84" t="s">
        <v>203</v>
      </c>
      <c r="AN97" s="84" t="s">
        <v>203</v>
      </c>
      <c r="AO97" s="84" t="s">
        <v>203</v>
      </c>
      <c r="AP97" s="84" t="s">
        <v>203</v>
      </c>
      <c r="AQ97" s="84" t="s">
        <v>203</v>
      </c>
      <c r="AR97" s="84" t="s">
        <v>203</v>
      </c>
      <c r="AS97" s="84" t="s">
        <v>203</v>
      </c>
      <c r="AT97" s="84" t="s">
        <v>310</v>
      </c>
      <c r="AU97" s="84" t="s">
        <v>310</v>
      </c>
      <c r="AV97" s="84" t="s">
        <v>310</v>
      </c>
      <c r="AW97" s="84" t="s">
        <v>310</v>
      </c>
      <c r="AX97" s="84" t="s">
        <v>310</v>
      </c>
      <c r="AY97" s="84" t="s">
        <v>310</v>
      </c>
      <c r="AZ97" s="84" t="s">
        <v>310</v>
      </c>
      <c r="BA97" s="84" t="s">
        <v>310</v>
      </c>
      <c r="BB97" s="84" t="s">
        <v>310</v>
      </c>
      <c r="BC97" s="84" t="s">
        <v>310</v>
      </c>
      <c r="BD97" s="84" t="s">
        <v>310</v>
      </c>
      <c r="BE97" s="84" t="s">
        <v>310</v>
      </c>
      <c r="BF97" s="84" t="s">
        <v>310</v>
      </c>
      <c r="BG97" s="84" t="s">
        <v>310</v>
      </c>
      <c r="BH97" s="84" t="s">
        <v>310</v>
      </c>
      <c r="BI97" s="84" t="s">
        <v>310</v>
      </c>
      <c r="BJ97" s="84" t="s">
        <v>310</v>
      </c>
    </row>
    <row r="98" spans="1:62" s="80" customFormat="1" x14ac:dyDescent="0.3">
      <c r="A98" s="45">
        <v>404001</v>
      </c>
      <c r="B98" s="46" t="s">
        <v>520</v>
      </c>
      <c r="C98" s="46" t="s">
        <v>521</v>
      </c>
      <c r="D98" s="46" t="str">
        <f t="shared" si="4"/>
        <v>404001_Remuneration for an invention (research)</v>
      </c>
      <c r="E98" s="76">
        <v>400000</v>
      </c>
      <c r="F98" s="76" t="s">
        <v>226</v>
      </c>
      <c r="G98" s="76" t="s">
        <v>197</v>
      </c>
      <c r="H98" s="77" t="str">
        <f t="shared" si="5"/>
        <v>400000_Personnel related expenses</v>
      </c>
      <c r="I98" s="76">
        <v>404000</v>
      </c>
      <c r="J98" s="76" t="s">
        <v>522</v>
      </c>
      <c r="K98" s="76" t="s">
        <v>523</v>
      </c>
      <c r="L98" s="77" t="str">
        <f t="shared" si="6"/>
        <v>404000_Remuneration for an invention</v>
      </c>
      <c r="M98" s="76" t="s">
        <v>308</v>
      </c>
      <c r="N98" s="78" t="s">
        <v>203</v>
      </c>
      <c r="O98" s="79" t="s">
        <v>203</v>
      </c>
      <c r="P98" s="79" t="s">
        <v>203</v>
      </c>
      <c r="Q98" s="79" t="s">
        <v>203</v>
      </c>
      <c r="R98" s="79" t="s">
        <v>203</v>
      </c>
      <c r="S98" s="79" t="s">
        <v>203</v>
      </c>
      <c r="T98" s="79" t="s">
        <v>203</v>
      </c>
      <c r="U98" s="79" t="s">
        <v>203</v>
      </c>
      <c r="V98" s="79" t="s">
        <v>203</v>
      </c>
      <c r="W98" s="79" t="s">
        <v>203</v>
      </c>
      <c r="X98" s="79" t="s">
        <v>203</v>
      </c>
      <c r="Y98" s="79" t="s">
        <v>203</v>
      </c>
      <c r="Z98" s="79" t="s">
        <v>203</v>
      </c>
      <c r="AA98" s="79" t="s">
        <v>203</v>
      </c>
      <c r="AB98" s="79" t="s">
        <v>203</v>
      </c>
      <c r="AC98" s="79" t="s">
        <v>203</v>
      </c>
      <c r="AD98" s="79" t="s">
        <v>203</v>
      </c>
      <c r="AE98" s="79" t="s">
        <v>203</v>
      </c>
      <c r="AF98" s="79" t="s">
        <v>203</v>
      </c>
      <c r="AG98" s="79" t="s">
        <v>203</v>
      </c>
      <c r="AH98" s="79" t="s">
        <v>203</v>
      </c>
      <c r="AI98" s="79" t="s">
        <v>203</v>
      </c>
      <c r="AJ98" s="79" t="s">
        <v>203</v>
      </c>
      <c r="AK98" s="79" t="s">
        <v>203</v>
      </c>
      <c r="AL98" s="79" t="s">
        <v>203</v>
      </c>
      <c r="AM98" s="79" t="s">
        <v>203</v>
      </c>
      <c r="AN98" s="79" t="s">
        <v>203</v>
      </c>
      <c r="AO98" s="79" t="s">
        <v>203</v>
      </c>
      <c r="AP98" s="79" t="s">
        <v>203</v>
      </c>
      <c r="AQ98" s="79" t="s">
        <v>203</v>
      </c>
      <c r="AR98" s="79" t="s">
        <v>203</v>
      </c>
      <c r="AS98" s="79" t="s">
        <v>203</v>
      </c>
      <c r="AT98" s="79" t="s">
        <v>310</v>
      </c>
      <c r="AU98" s="79" t="s">
        <v>310</v>
      </c>
      <c r="AV98" s="79" t="s">
        <v>310</v>
      </c>
      <c r="AW98" s="79" t="s">
        <v>310</v>
      </c>
      <c r="AX98" s="79" t="s">
        <v>310</v>
      </c>
      <c r="AY98" s="79" t="s">
        <v>310</v>
      </c>
      <c r="AZ98" s="79" t="s">
        <v>310</v>
      </c>
      <c r="BA98" s="79" t="s">
        <v>310</v>
      </c>
      <c r="BB98" s="79" t="s">
        <v>310</v>
      </c>
      <c r="BC98" s="79" t="s">
        <v>310</v>
      </c>
      <c r="BD98" s="79" t="s">
        <v>310</v>
      </c>
      <c r="BE98" s="79" t="s">
        <v>310</v>
      </c>
      <c r="BF98" s="79" t="s">
        <v>310</v>
      </c>
      <c r="BG98" s="79" t="s">
        <v>310</v>
      </c>
      <c r="BH98" s="79" t="s">
        <v>310</v>
      </c>
      <c r="BI98" s="79" t="s">
        <v>310</v>
      </c>
      <c r="BJ98" s="79" t="s">
        <v>310</v>
      </c>
    </row>
    <row r="99" spans="1:62" s="85" customFormat="1" x14ac:dyDescent="0.3">
      <c r="A99" s="43">
        <v>405001</v>
      </c>
      <c r="B99" s="44" t="s">
        <v>524</v>
      </c>
      <c r="C99" s="44" t="s">
        <v>525</v>
      </c>
      <c r="D99" s="44" t="str">
        <f t="shared" ref="D99:D130" si="7">A99&amp;$D$1&amp;C99</f>
        <v>405001_Living expenses - employees</v>
      </c>
      <c r="E99" s="81">
        <v>400000</v>
      </c>
      <c r="F99" s="81" t="s">
        <v>226</v>
      </c>
      <c r="G99" s="44" t="s">
        <v>197</v>
      </c>
      <c r="H99" s="44" t="str">
        <f t="shared" si="5"/>
        <v>400000_Personnel related expenses</v>
      </c>
      <c r="I99" s="81">
        <v>405000</v>
      </c>
      <c r="J99" s="81" t="s">
        <v>526</v>
      </c>
      <c r="K99" s="44" t="s">
        <v>527</v>
      </c>
      <c r="L99" s="44" t="str">
        <f t="shared" si="6"/>
        <v>405000_Compensations and benefits - employees</v>
      </c>
      <c r="M99" s="82" t="s">
        <v>308</v>
      </c>
      <c r="N99" s="83" t="s">
        <v>528</v>
      </c>
      <c r="O99" s="84" t="s">
        <v>310</v>
      </c>
      <c r="P99" s="84" t="s">
        <v>310</v>
      </c>
      <c r="Q99" s="84" t="s">
        <v>310</v>
      </c>
      <c r="R99" s="84" t="s">
        <v>310</v>
      </c>
      <c r="S99" s="84" t="s">
        <v>310</v>
      </c>
      <c r="T99" s="84" t="s">
        <v>310</v>
      </c>
      <c r="U99" s="84" t="s">
        <v>310</v>
      </c>
      <c r="V99" s="84" t="s">
        <v>310</v>
      </c>
      <c r="W99" s="84" t="s">
        <v>310</v>
      </c>
      <c r="X99" s="84" t="s">
        <v>310</v>
      </c>
      <c r="Y99" s="84" t="s">
        <v>310</v>
      </c>
      <c r="Z99" s="84" t="s">
        <v>310</v>
      </c>
      <c r="AA99" s="84" t="s">
        <v>310</v>
      </c>
      <c r="AB99" s="84" t="s">
        <v>310</v>
      </c>
      <c r="AC99" s="84" t="s">
        <v>310</v>
      </c>
      <c r="AD99" s="84" t="s">
        <v>310</v>
      </c>
      <c r="AE99" s="84" t="s">
        <v>310</v>
      </c>
      <c r="AF99" s="84" t="s">
        <v>310</v>
      </c>
      <c r="AG99" s="84" t="s">
        <v>310</v>
      </c>
      <c r="AH99" s="84" t="s">
        <v>310</v>
      </c>
      <c r="AI99" s="84" t="s">
        <v>310</v>
      </c>
      <c r="AJ99" s="84" t="s">
        <v>310</v>
      </c>
      <c r="AK99" s="84" t="s">
        <v>310</v>
      </c>
      <c r="AL99" s="84" t="s">
        <v>310</v>
      </c>
      <c r="AM99" s="84" t="s">
        <v>310</v>
      </c>
      <c r="AN99" s="84" t="s">
        <v>310</v>
      </c>
      <c r="AO99" s="84" t="s">
        <v>310</v>
      </c>
      <c r="AP99" s="84" t="s">
        <v>310</v>
      </c>
      <c r="AQ99" s="84" t="s">
        <v>310</v>
      </c>
      <c r="AR99" s="84" t="s">
        <v>310</v>
      </c>
      <c r="AS99" s="84" t="s">
        <v>310</v>
      </c>
      <c r="AT99" s="84" t="s">
        <v>310</v>
      </c>
      <c r="AU99" s="84" t="s">
        <v>310</v>
      </c>
      <c r="AV99" s="84" t="s">
        <v>310</v>
      </c>
      <c r="AW99" s="84" t="s">
        <v>310</v>
      </c>
      <c r="AX99" s="84" t="s">
        <v>310</v>
      </c>
      <c r="AY99" s="84" t="s">
        <v>310</v>
      </c>
      <c r="AZ99" s="84" t="s">
        <v>310</v>
      </c>
      <c r="BA99" s="84" t="s">
        <v>310</v>
      </c>
      <c r="BB99" s="84" t="s">
        <v>310</v>
      </c>
      <c r="BC99" s="84" t="s">
        <v>310</v>
      </c>
      <c r="BD99" s="84" t="s">
        <v>310</v>
      </c>
      <c r="BE99" s="84" t="s">
        <v>310</v>
      </c>
      <c r="BF99" s="84" t="s">
        <v>310</v>
      </c>
      <c r="BG99" s="84" t="s">
        <v>310</v>
      </c>
      <c r="BH99" s="84" t="s">
        <v>310</v>
      </c>
      <c r="BI99" s="84" t="s">
        <v>310</v>
      </c>
      <c r="BJ99" s="84" t="s">
        <v>310</v>
      </c>
    </row>
    <row r="100" spans="1:62" s="80" customFormat="1" x14ac:dyDescent="0.3">
      <c r="A100" s="45">
        <v>405002</v>
      </c>
      <c r="B100" s="46" t="s">
        <v>529</v>
      </c>
      <c r="C100" s="46" t="s">
        <v>530</v>
      </c>
      <c r="D100" s="46" t="str">
        <f t="shared" si="7"/>
        <v>405002_Kids education expenses</v>
      </c>
      <c r="E100" s="76">
        <v>400000</v>
      </c>
      <c r="F100" s="76" t="s">
        <v>226</v>
      </c>
      <c r="G100" s="76" t="s">
        <v>197</v>
      </c>
      <c r="H100" s="77" t="str">
        <f t="shared" si="5"/>
        <v>400000_Personnel related expenses</v>
      </c>
      <c r="I100" s="76">
        <v>405000</v>
      </c>
      <c r="J100" s="76" t="s">
        <v>526</v>
      </c>
      <c r="K100" s="76" t="s">
        <v>527</v>
      </c>
      <c r="L100" s="77" t="str">
        <f t="shared" si="6"/>
        <v>405000_Compensations and benefits - employees</v>
      </c>
      <c r="M100" s="76" t="s">
        <v>308</v>
      </c>
      <c r="N100" s="78" t="s">
        <v>203</v>
      </c>
      <c r="O100" s="79" t="s">
        <v>310</v>
      </c>
      <c r="P100" s="79" t="s">
        <v>310</v>
      </c>
      <c r="Q100" s="79" t="s">
        <v>310</v>
      </c>
      <c r="R100" s="79" t="s">
        <v>310</v>
      </c>
      <c r="S100" s="79" t="s">
        <v>310</v>
      </c>
      <c r="T100" s="79" t="s">
        <v>310</v>
      </c>
      <c r="U100" s="79" t="s">
        <v>310</v>
      </c>
      <c r="V100" s="79" t="s">
        <v>310</v>
      </c>
      <c r="W100" s="79" t="s">
        <v>310</v>
      </c>
      <c r="X100" s="79" t="s">
        <v>310</v>
      </c>
      <c r="Y100" s="79" t="s">
        <v>310</v>
      </c>
      <c r="Z100" s="79" t="s">
        <v>310</v>
      </c>
      <c r="AA100" s="79" t="s">
        <v>310</v>
      </c>
      <c r="AB100" s="79" t="s">
        <v>310</v>
      </c>
      <c r="AC100" s="79" t="s">
        <v>310</v>
      </c>
      <c r="AD100" s="79" t="s">
        <v>310</v>
      </c>
      <c r="AE100" s="79" t="s">
        <v>310</v>
      </c>
      <c r="AF100" s="79" t="s">
        <v>310</v>
      </c>
      <c r="AG100" s="79" t="s">
        <v>310</v>
      </c>
      <c r="AH100" s="79" t="s">
        <v>310</v>
      </c>
      <c r="AI100" s="79" t="s">
        <v>310</v>
      </c>
      <c r="AJ100" s="79" t="s">
        <v>310</v>
      </c>
      <c r="AK100" s="79" t="s">
        <v>310</v>
      </c>
      <c r="AL100" s="79" t="s">
        <v>310</v>
      </c>
      <c r="AM100" s="79" t="s">
        <v>310</v>
      </c>
      <c r="AN100" s="79" t="s">
        <v>310</v>
      </c>
      <c r="AO100" s="79" t="s">
        <v>310</v>
      </c>
      <c r="AP100" s="79" t="s">
        <v>310</v>
      </c>
      <c r="AQ100" s="79" t="s">
        <v>310</v>
      </c>
      <c r="AR100" s="79" t="s">
        <v>310</v>
      </c>
      <c r="AS100" s="79" t="s">
        <v>310</v>
      </c>
      <c r="AT100" s="79" t="s">
        <v>310</v>
      </c>
      <c r="AU100" s="79" t="s">
        <v>310</v>
      </c>
      <c r="AV100" s="79" t="s">
        <v>310</v>
      </c>
      <c r="AW100" s="79" t="s">
        <v>310</v>
      </c>
      <c r="AX100" s="79" t="s">
        <v>310</v>
      </c>
      <c r="AY100" s="79" t="s">
        <v>310</v>
      </c>
      <c r="AZ100" s="79" t="s">
        <v>310</v>
      </c>
      <c r="BA100" s="79" t="s">
        <v>310</v>
      </c>
      <c r="BB100" s="79" t="s">
        <v>310</v>
      </c>
      <c r="BC100" s="79" t="s">
        <v>310</v>
      </c>
      <c r="BD100" s="79" t="s">
        <v>310</v>
      </c>
      <c r="BE100" s="79" t="s">
        <v>310</v>
      </c>
      <c r="BF100" s="79" t="s">
        <v>310</v>
      </c>
      <c r="BG100" s="79" t="s">
        <v>310</v>
      </c>
      <c r="BH100" s="79" t="s">
        <v>310</v>
      </c>
      <c r="BI100" s="79" t="s">
        <v>310</v>
      </c>
      <c r="BJ100" s="79" t="s">
        <v>310</v>
      </c>
    </row>
    <row r="101" spans="1:62" s="85" customFormat="1" x14ac:dyDescent="0.3">
      <c r="A101" s="43">
        <v>405003</v>
      </c>
      <c r="B101" s="44" t="s">
        <v>531</v>
      </c>
      <c r="C101" s="44" t="s">
        <v>532</v>
      </c>
      <c r="D101" s="44" t="str">
        <f t="shared" si="7"/>
        <v>405003_Language and cultural trainings</v>
      </c>
      <c r="E101" s="81">
        <v>400000</v>
      </c>
      <c r="F101" s="81" t="s">
        <v>226</v>
      </c>
      <c r="G101" s="44" t="s">
        <v>197</v>
      </c>
      <c r="H101" s="44" t="str">
        <f t="shared" si="5"/>
        <v>400000_Personnel related expenses</v>
      </c>
      <c r="I101" s="81">
        <v>405000</v>
      </c>
      <c r="J101" s="81" t="s">
        <v>526</v>
      </c>
      <c r="K101" s="44" t="s">
        <v>527</v>
      </c>
      <c r="L101" s="44" t="str">
        <f t="shared" si="6"/>
        <v>405000_Compensations and benefits - employees</v>
      </c>
      <c r="M101" s="82" t="s">
        <v>308</v>
      </c>
      <c r="N101" s="83" t="s">
        <v>203</v>
      </c>
      <c r="O101" s="84" t="s">
        <v>310</v>
      </c>
      <c r="P101" s="84" t="s">
        <v>310</v>
      </c>
      <c r="Q101" s="84" t="s">
        <v>310</v>
      </c>
      <c r="R101" s="84" t="s">
        <v>310</v>
      </c>
      <c r="S101" s="84" t="s">
        <v>310</v>
      </c>
      <c r="T101" s="84" t="s">
        <v>310</v>
      </c>
      <c r="U101" s="84" t="s">
        <v>310</v>
      </c>
      <c r="V101" s="84" t="s">
        <v>310</v>
      </c>
      <c r="W101" s="84" t="s">
        <v>310</v>
      </c>
      <c r="X101" s="84" t="s">
        <v>310</v>
      </c>
      <c r="Y101" s="84" t="s">
        <v>310</v>
      </c>
      <c r="Z101" s="84" t="s">
        <v>310</v>
      </c>
      <c r="AA101" s="84" t="s">
        <v>310</v>
      </c>
      <c r="AB101" s="84" t="s">
        <v>310</v>
      </c>
      <c r="AC101" s="84" t="s">
        <v>310</v>
      </c>
      <c r="AD101" s="84" t="s">
        <v>310</v>
      </c>
      <c r="AE101" s="84" t="s">
        <v>310</v>
      </c>
      <c r="AF101" s="84" t="s">
        <v>310</v>
      </c>
      <c r="AG101" s="84" t="s">
        <v>310</v>
      </c>
      <c r="AH101" s="84" t="s">
        <v>310</v>
      </c>
      <c r="AI101" s="84" t="s">
        <v>310</v>
      </c>
      <c r="AJ101" s="84" t="s">
        <v>310</v>
      </c>
      <c r="AK101" s="84" t="s">
        <v>310</v>
      </c>
      <c r="AL101" s="84" t="s">
        <v>310</v>
      </c>
      <c r="AM101" s="84" t="s">
        <v>310</v>
      </c>
      <c r="AN101" s="84" t="s">
        <v>310</v>
      </c>
      <c r="AO101" s="84" t="s">
        <v>310</v>
      </c>
      <c r="AP101" s="84" t="s">
        <v>310</v>
      </c>
      <c r="AQ101" s="84" t="s">
        <v>310</v>
      </c>
      <c r="AR101" s="84" t="s">
        <v>310</v>
      </c>
      <c r="AS101" s="84" t="s">
        <v>310</v>
      </c>
      <c r="AT101" s="84" t="s">
        <v>310</v>
      </c>
      <c r="AU101" s="84" t="s">
        <v>310</v>
      </c>
      <c r="AV101" s="84" t="s">
        <v>310</v>
      </c>
      <c r="AW101" s="84" t="s">
        <v>310</v>
      </c>
      <c r="AX101" s="84" t="s">
        <v>310</v>
      </c>
      <c r="AY101" s="84" t="s">
        <v>310</v>
      </c>
      <c r="AZ101" s="84" t="s">
        <v>310</v>
      </c>
      <c r="BA101" s="84" t="s">
        <v>310</v>
      </c>
      <c r="BB101" s="84" t="s">
        <v>310</v>
      </c>
      <c r="BC101" s="84" t="s">
        <v>310</v>
      </c>
      <c r="BD101" s="84" t="s">
        <v>310</v>
      </c>
      <c r="BE101" s="84" t="s">
        <v>310</v>
      </c>
      <c r="BF101" s="84" t="s">
        <v>310</v>
      </c>
      <c r="BG101" s="84" t="s">
        <v>310</v>
      </c>
      <c r="BH101" s="84" t="s">
        <v>310</v>
      </c>
      <c r="BI101" s="84" t="s">
        <v>310</v>
      </c>
      <c r="BJ101" s="84" t="s">
        <v>310</v>
      </c>
    </row>
    <row r="102" spans="1:62" s="80" customFormat="1" x14ac:dyDescent="0.3">
      <c r="A102" s="45">
        <v>405004</v>
      </c>
      <c r="B102" s="46" t="s">
        <v>533</v>
      </c>
      <c r="C102" s="46" t="s">
        <v>534</v>
      </c>
      <c r="D102" s="46" t="str">
        <f t="shared" si="7"/>
        <v>405004_Pre-employment visit</v>
      </c>
      <c r="E102" s="76">
        <v>400000</v>
      </c>
      <c r="F102" s="76" t="s">
        <v>226</v>
      </c>
      <c r="G102" s="76" t="s">
        <v>197</v>
      </c>
      <c r="H102" s="77" t="str">
        <f t="shared" si="5"/>
        <v>400000_Personnel related expenses</v>
      </c>
      <c r="I102" s="76">
        <v>405000</v>
      </c>
      <c r="J102" s="76" t="s">
        <v>526</v>
      </c>
      <c r="K102" s="76" t="s">
        <v>527</v>
      </c>
      <c r="L102" s="77" t="str">
        <f t="shared" si="6"/>
        <v>405000_Compensations and benefits - employees</v>
      </c>
      <c r="M102" s="76" t="s">
        <v>308</v>
      </c>
      <c r="N102" s="78" t="s">
        <v>203</v>
      </c>
      <c r="O102" s="79" t="s">
        <v>203</v>
      </c>
      <c r="P102" s="79" t="s">
        <v>203</v>
      </c>
      <c r="Q102" s="79" t="s">
        <v>203</v>
      </c>
      <c r="R102" s="79" t="s">
        <v>203</v>
      </c>
      <c r="S102" s="79" t="s">
        <v>203</v>
      </c>
      <c r="T102" s="79" t="s">
        <v>203</v>
      </c>
      <c r="U102" s="79" t="s">
        <v>203</v>
      </c>
      <c r="V102" s="79" t="s">
        <v>203</v>
      </c>
      <c r="W102" s="79" t="s">
        <v>203</v>
      </c>
      <c r="X102" s="79" t="s">
        <v>203</v>
      </c>
      <c r="Y102" s="79" t="s">
        <v>203</v>
      </c>
      <c r="Z102" s="79" t="s">
        <v>203</v>
      </c>
      <c r="AA102" s="79" t="s">
        <v>203</v>
      </c>
      <c r="AB102" s="79" t="s">
        <v>203</v>
      </c>
      <c r="AC102" s="79" t="s">
        <v>203</v>
      </c>
      <c r="AD102" s="79" t="s">
        <v>203</v>
      </c>
      <c r="AE102" s="79" t="s">
        <v>203</v>
      </c>
      <c r="AF102" s="79" t="s">
        <v>203</v>
      </c>
      <c r="AG102" s="79" t="s">
        <v>203</v>
      </c>
      <c r="AH102" s="79" t="s">
        <v>203</v>
      </c>
      <c r="AI102" s="79" t="s">
        <v>203</v>
      </c>
      <c r="AJ102" s="79" t="s">
        <v>203</v>
      </c>
      <c r="AK102" s="79" t="s">
        <v>310</v>
      </c>
      <c r="AL102" s="79" t="s">
        <v>203</v>
      </c>
      <c r="AM102" s="79" t="s">
        <v>203</v>
      </c>
      <c r="AN102" s="79" t="s">
        <v>203</v>
      </c>
      <c r="AO102" s="79" t="s">
        <v>203</v>
      </c>
      <c r="AP102" s="79" t="s">
        <v>203</v>
      </c>
      <c r="AQ102" s="79" t="s">
        <v>203</v>
      </c>
      <c r="AR102" s="79" t="s">
        <v>203</v>
      </c>
      <c r="AS102" s="79" t="s">
        <v>310</v>
      </c>
      <c r="AT102" s="79" t="s">
        <v>203</v>
      </c>
      <c r="AU102" s="79" t="s">
        <v>203</v>
      </c>
      <c r="AV102" s="79" t="s">
        <v>203</v>
      </c>
      <c r="AW102" s="79" t="s">
        <v>203</v>
      </c>
      <c r="AX102" s="79" t="s">
        <v>203</v>
      </c>
      <c r="AY102" s="79" t="s">
        <v>203</v>
      </c>
      <c r="AZ102" s="79" t="s">
        <v>203</v>
      </c>
      <c r="BA102" s="79" t="s">
        <v>203</v>
      </c>
      <c r="BB102" s="79" t="s">
        <v>203</v>
      </c>
      <c r="BC102" s="79" t="s">
        <v>203</v>
      </c>
      <c r="BD102" s="79" t="s">
        <v>203</v>
      </c>
      <c r="BE102" s="79" t="s">
        <v>203</v>
      </c>
      <c r="BF102" s="79" t="s">
        <v>203</v>
      </c>
      <c r="BG102" s="79" t="s">
        <v>203</v>
      </c>
      <c r="BH102" s="79" t="s">
        <v>203</v>
      </c>
      <c r="BI102" s="79" t="s">
        <v>203</v>
      </c>
      <c r="BJ102" s="79" t="s">
        <v>203</v>
      </c>
    </row>
    <row r="103" spans="1:62" s="85" customFormat="1" x14ac:dyDescent="0.3">
      <c r="A103" s="43">
        <v>405005</v>
      </c>
      <c r="B103" s="44" t="s">
        <v>535</v>
      </c>
      <c r="C103" s="44" t="s">
        <v>536</v>
      </c>
      <c r="D103" s="44" t="str">
        <f t="shared" si="7"/>
        <v>405005_Relocation support - employees</v>
      </c>
      <c r="E103" s="81">
        <v>400000</v>
      </c>
      <c r="F103" s="81" t="s">
        <v>226</v>
      </c>
      <c r="G103" s="44" t="s">
        <v>197</v>
      </c>
      <c r="H103" s="44" t="str">
        <f t="shared" si="5"/>
        <v>400000_Personnel related expenses</v>
      </c>
      <c r="I103" s="81">
        <v>405000</v>
      </c>
      <c r="J103" s="81" t="s">
        <v>526</v>
      </c>
      <c r="K103" s="44" t="s">
        <v>527</v>
      </c>
      <c r="L103" s="44" t="str">
        <f t="shared" si="6"/>
        <v>405000_Compensations and benefits - employees</v>
      </c>
      <c r="M103" s="82" t="s">
        <v>308</v>
      </c>
      <c r="N103" s="83" t="s">
        <v>537</v>
      </c>
      <c r="O103" s="84" t="s">
        <v>310</v>
      </c>
      <c r="P103" s="84" t="s">
        <v>310</v>
      </c>
      <c r="Q103" s="84" t="s">
        <v>310</v>
      </c>
      <c r="R103" s="84" t="s">
        <v>310</v>
      </c>
      <c r="S103" s="84" t="s">
        <v>310</v>
      </c>
      <c r="T103" s="84" t="s">
        <v>310</v>
      </c>
      <c r="U103" s="84" t="s">
        <v>310</v>
      </c>
      <c r="V103" s="84" t="s">
        <v>310</v>
      </c>
      <c r="W103" s="84" t="s">
        <v>310</v>
      </c>
      <c r="X103" s="84" t="s">
        <v>310</v>
      </c>
      <c r="Y103" s="84" t="s">
        <v>310</v>
      </c>
      <c r="Z103" s="84" t="s">
        <v>310</v>
      </c>
      <c r="AA103" s="84" t="s">
        <v>310</v>
      </c>
      <c r="AB103" s="84" t="s">
        <v>310</v>
      </c>
      <c r="AC103" s="84" t="s">
        <v>310</v>
      </c>
      <c r="AD103" s="84" t="s">
        <v>310</v>
      </c>
      <c r="AE103" s="84" t="s">
        <v>310</v>
      </c>
      <c r="AF103" s="84" t="s">
        <v>310</v>
      </c>
      <c r="AG103" s="84" t="s">
        <v>310</v>
      </c>
      <c r="AH103" s="84" t="s">
        <v>310</v>
      </c>
      <c r="AI103" s="84" t="s">
        <v>310</v>
      </c>
      <c r="AJ103" s="84" t="s">
        <v>310</v>
      </c>
      <c r="AK103" s="84" t="s">
        <v>310</v>
      </c>
      <c r="AL103" s="84" t="s">
        <v>310</v>
      </c>
      <c r="AM103" s="84" t="s">
        <v>310</v>
      </c>
      <c r="AN103" s="84" t="s">
        <v>310</v>
      </c>
      <c r="AO103" s="84" t="s">
        <v>310</v>
      </c>
      <c r="AP103" s="84" t="s">
        <v>310</v>
      </c>
      <c r="AQ103" s="84" t="s">
        <v>310</v>
      </c>
      <c r="AR103" s="84" t="s">
        <v>310</v>
      </c>
      <c r="AS103" s="84" t="s">
        <v>310</v>
      </c>
      <c r="AT103" s="84" t="s">
        <v>310</v>
      </c>
      <c r="AU103" s="84" t="s">
        <v>310</v>
      </c>
      <c r="AV103" s="84" t="s">
        <v>310</v>
      </c>
      <c r="AW103" s="84" t="s">
        <v>310</v>
      </c>
      <c r="AX103" s="84" t="s">
        <v>310</v>
      </c>
      <c r="AY103" s="84" t="s">
        <v>310</v>
      </c>
      <c r="AZ103" s="84" t="s">
        <v>310</v>
      </c>
      <c r="BA103" s="84" t="s">
        <v>310</v>
      </c>
      <c r="BB103" s="84" t="s">
        <v>310</v>
      </c>
      <c r="BC103" s="84" t="s">
        <v>310</v>
      </c>
      <c r="BD103" s="84" t="s">
        <v>310</v>
      </c>
      <c r="BE103" s="84" t="s">
        <v>310</v>
      </c>
      <c r="BF103" s="84" t="s">
        <v>310</v>
      </c>
      <c r="BG103" s="84" t="s">
        <v>310</v>
      </c>
      <c r="BH103" s="84" t="s">
        <v>310</v>
      </c>
      <c r="BI103" s="84" t="s">
        <v>310</v>
      </c>
      <c r="BJ103" s="84" t="s">
        <v>310</v>
      </c>
    </row>
    <row r="104" spans="1:62" s="80" customFormat="1" x14ac:dyDescent="0.3">
      <c r="A104" s="45">
        <v>405006</v>
      </c>
      <c r="B104" s="46" t="s">
        <v>538</v>
      </c>
      <c r="C104" s="46" t="s">
        <v>539</v>
      </c>
      <c r="D104" s="46" t="str">
        <f t="shared" si="7"/>
        <v>405006_Financial aid</v>
      </c>
      <c r="E104" s="76">
        <v>400000</v>
      </c>
      <c r="F104" s="76" t="s">
        <v>226</v>
      </c>
      <c r="G104" s="76" t="s">
        <v>197</v>
      </c>
      <c r="H104" s="77" t="str">
        <f t="shared" si="5"/>
        <v>400000_Personnel related expenses</v>
      </c>
      <c r="I104" s="76">
        <v>405000</v>
      </c>
      <c r="J104" s="76" t="s">
        <v>526</v>
      </c>
      <c r="K104" s="76" t="s">
        <v>527</v>
      </c>
      <c r="L104" s="77" t="str">
        <f t="shared" si="6"/>
        <v>405000_Compensations and benefits - employees</v>
      </c>
      <c r="M104" s="76" t="s">
        <v>350</v>
      </c>
      <c r="N104" s="78" t="s">
        <v>540</v>
      </c>
      <c r="O104" s="79" t="s">
        <v>310</v>
      </c>
      <c r="P104" s="79" t="s">
        <v>310</v>
      </c>
      <c r="Q104" s="79" t="s">
        <v>310</v>
      </c>
      <c r="R104" s="79" t="s">
        <v>310</v>
      </c>
      <c r="S104" s="79" t="s">
        <v>310</v>
      </c>
      <c r="T104" s="79" t="s">
        <v>310</v>
      </c>
      <c r="U104" s="79" t="s">
        <v>310</v>
      </c>
      <c r="V104" s="79" t="s">
        <v>310</v>
      </c>
      <c r="W104" s="79" t="s">
        <v>310</v>
      </c>
      <c r="X104" s="79" t="s">
        <v>310</v>
      </c>
      <c r="Y104" s="79" t="s">
        <v>310</v>
      </c>
      <c r="Z104" s="79" t="s">
        <v>310</v>
      </c>
      <c r="AA104" s="79" t="s">
        <v>310</v>
      </c>
      <c r="AB104" s="79" t="s">
        <v>310</v>
      </c>
      <c r="AC104" s="79" t="s">
        <v>310</v>
      </c>
      <c r="AD104" s="79" t="s">
        <v>310</v>
      </c>
      <c r="AE104" s="79" t="s">
        <v>310</v>
      </c>
      <c r="AF104" s="79" t="s">
        <v>310</v>
      </c>
      <c r="AG104" s="79" t="s">
        <v>310</v>
      </c>
      <c r="AH104" s="79" t="s">
        <v>310</v>
      </c>
      <c r="AI104" s="79" t="s">
        <v>310</v>
      </c>
      <c r="AJ104" s="79" t="s">
        <v>310</v>
      </c>
      <c r="AK104" s="79" t="s">
        <v>310</v>
      </c>
      <c r="AL104" s="79" t="s">
        <v>310</v>
      </c>
      <c r="AM104" s="79" t="s">
        <v>310</v>
      </c>
      <c r="AN104" s="79" t="s">
        <v>310</v>
      </c>
      <c r="AO104" s="79" t="s">
        <v>310</v>
      </c>
      <c r="AP104" s="79" t="s">
        <v>310</v>
      </c>
      <c r="AQ104" s="79" t="s">
        <v>310</v>
      </c>
      <c r="AR104" s="79" t="s">
        <v>310</v>
      </c>
      <c r="AS104" s="79" t="s">
        <v>310</v>
      </c>
      <c r="AT104" s="79" t="s">
        <v>310</v>
      </c>
      <c r="AU104" s="79" t="s">
        <v>310</v>
      </c>
      <c r="AV104" s="79" t="s">
        <v>310</v>
      </c>
      <c r="AW104" s="79" t="s">
        <v>310</v>
      </c>
      <c r="AX104" s="79" t="s">
        <v>310</v>
      </c>
      <c r="AY104" s="79" t="s">
        <v>310</v>
      </c>
      <c r="AZ104" s="79" t="s">
        <v>310</v>
      </c>
      <c r="BA104" s="79" t="s">
        <v>310</v>
      </c>
      <c r="BB104" s="79" t="s">
        <v>310</v>
      </c>
      <c r="BC104" s="79" t="s">
        <v>310</v>
      </c>
      <c r="BD104" s="79" t="s">
        <v>310</v>
      </c>
      <c r="BE104" s="79" t="s">
        <v>310</v>
      </c>
      <c r="BF104" s="79" t="s">
        <v>310</v>
      </c>
      <c r="BG104" s="79" t="s">
        <v>310</v>
      </c>
      <c r="BH104" s="79" t="s">
        <v>310</v>
      </c>
      <c r="BI104" s="79" t="s">
        <v>310</v>
      </c>
      <c r="BJ104" s="79" t="s">
        <v>310</v>
      </c>
    </row>
    <row r="105" spans="1:62" s="85" customFormat="1" x14ac:dyDescent="0.3">
      <c r="A105" s="43">
        <v>405007</v>
      </c>
      <c r="B105" s="44" t="s">
        <v>541</v>
      </c>
      <c r="C105" s="44" t="s">
        <v>542</v>
      </c>
      <c r="D105" s="44" t="str">
        <f t="shared" si="7"/>
        <v>405007_Tax consultations</v>
      </c>
      <c r="E105" s="81">
        <v>400000</v>
      </c>
      <c r="F105" s="81" t="s">
        <v>226</v>
      </c>
      <c r="G105" s="44" t="s">
        <v>197</v>
      </c>
      <c r="H105" s="44" t="str">
        <f t="shared" si="5"/>
        <v>400000_Personnel related expenses</v>
      </c>
      <c r="I105" s="81">
        <v>405000</v>
      </c>
      <c r="J105" s="81" t="s">
        <v>526</v>
      </c>
      <c r="K105" s="44" t="s">
        <v>527</v>
      </c>
      <c r="L105" s="44" t="str">
        <f t="shared" si="6"/>
        <v>405000_Compensations and benefits - employees</v>
      </c>
      <c r="M105" s="82" t="s">
        <v>308</v>
      </c>
      <c r="N105" s="83" t="s">
        <v>203</v>
      </c>
      <c r="O105" s="84" t="s">
        <v>310</v>
      </c>
      <c r="P105" s="84" t="s">
        <v>310</v>
      </c>
      <c r="Q105" s="84" t="s">
        <v>310</v>
      </c>
      <c r="R105" s="84" t="s">
        <v>310</v>
      </c>
      <c r="S105" s="84" t="s">
        <v>310</v>
      </c>
      <c r="T105" s="84" t="s">
        <v>310</v>
      </c>
      <c r="U105" s="84" t="s">
        <v>310</v>
      </c>
      <c r="V105" s="84" t="s">
        <v>310</v>
      </c>
      <c r="W105" s="84" t="s">
        <v>310</v>
      </c>
      <c r="X105" s="84" t="s">
        <v>310</v>
      </c>
      <c r="Y105" s="84" t="s">
        <v>310</v>
      </c>
      <c r="Z105" s="84" t="s">
        <v>310</v>
      </c>
      <c r="AA105" s="84" t="s">
        <v>310</v>
      </c>
      <c r="AB105" s="84" t="s">
        <v>310</v>
      </c>
      <c r="AC105" s="84" t="s">
        <v>310</v>
      </c>
      <c r="AD105" s="84" t="s">
        <v>203</v>
      </c>
      <c r="AE105" s="84" t="s">
        <v>203</v>
      </c>
      <c r="AF105" s="84" t="s">
        <v>203</v>
      </c>
      <c r="AG105" s="84" t="s">
        <v>203</v>
      </c>
      <c r="AH105" s="84" t="s">
        <v>203</v>
      </c>
      <c r="AI105" s="84" t="s">
        <v>203</v>
      </c>
      <c r="AJ105" s="84" t="s">
        <v>203</v>
      </c>
      <c r="AK105" s="84" t="s">
        <v>310</v>
      </c>
      <c r="AL105" s="84" t="s">
        <v>310</v>
      </c>
      <c r="AM105" s="84" t="s">
        <v>203</v>
      </c>
      <c r="AN105" s="84" t="s">
        <v>203</v>
      </c>
      <c r="AO105" s="84" t="s">
        <v>203</v>
      </c>
      <c r="AP105" s="84" t="s">
        <v>203</v>
      </c>
      <c r="AQ105" s="84" t="s">
        <v>203</v>
      </c>
      <c r="AR105" s="84" t="s">
        <v>203</v>
      </c>
      <c r="AS105" s="84" t="s">
        <v>203</v>
      </c>
      <c r="AT105" s="84" t="s">
        <v>203</v>
      </c>
      <c r="AU105" s="84" t="s">
        <v>203</v>
      </c>
      <c r="AV105" s="84" t="s">
        <v>203</v>
      </c>
      <c r="AW105" s="84" t="s">
        <v>203</v>
      </c>
      <c r="AX105" s="84" t="s">
        <v>203</v>
      </c>
      <c r="AY105" s="84" t="s">
        <v>203</v>
      </c>
      <c r="AZ105" s="84" t="s">
        <v>203</v>
      </c>
      <c r="BA105" s="84" t="s">
        <v>203</v>
      </c>
      <c r="BB105" s="84" t="s">
        <v>203</v>
      </c>
      <c r="BC105" s="84" t="s">
        <v>203</v>
      </c>
      <c r="BD105" s="84" t="s">
        <v>203</v>
      </c>
      <c r="BE105" s="84" t="s">
        <v>203</v>
      </c>
      <c r="BF105" s="84" t="s">
        <v>203</v>
      </c>
      <c r="BG105" s="84" t="s">
        <v>203</v>
      </c>
      <c r="BH105" s="84" t="s">
        <v>203</v>
      </c>
      <c r="BI105" s="84" t="s">
        <v>203</v>
      </c>
      <c r="BJ105" s="84" t="s">
        <v>203</v>
      </c>
    </row>
    <row r="106" spans="1:62" s="80" customFormat="1" x14ac:dyDescent="0.3">
      <c r="A106" s="45">
        <v>405008</v>
      </c>
      <c r="B106" s="46" t="s">
        <v>543</v>
      </c>
      <c r="C106" s="46" t="s">
        <v>544</v>
      </c>
      <c r="D106" s="46" t="str">
        <f t="shared" si="7"/>
        <v>405008_Cell phones expenses within the limits</v>
      </c>
      <c r="E106" s="76">
        <v>400000</v>
      </c>
      <c r="F106" s="76" t="s">
        <v>226</v>
      </c>
      <c r="G106" s="76" t="s">
        <v>197</v>
      </c>
      <c r="H106" s="77" t="str">
        <f t="shared" si="5"/>
        <v>400000_Personnel related expenses</v>
      </c>
      <c r="I106" s="76">
        <v>405000</v>
      </c>
      <c r="J106" s="76" t="s">
        <v>526</v>
      </c>
      <c r="K106" s="76" t="s">
        <v>527</v>
      </c>
      <c r="L106" s="77" t="str">
        <f t="shared" si="6"/>
        <v>405000_Compensations and benefits - employees</v>
      </c>
      <c r="M106" s="76" t="s">
        <v>308</v>
      </c>
      <c r="N106" s="78" t="s">
        <v>203</v>
      </c>
      <c r="O106" s="79" t="s">
        <v>310</v>
      </c>
      <c r="P106" s="79" t="s">
        <v>310</v>
      </c>
      <c r="Q106" s="79" t="s">
        <v>310</v>
      </c>
      <c r="R106" s="79" t="s">
        <v>310</v>
      </c>
      <c r="S106" s="79" t="s">
        <v>310</v>
      </c>
      <c r="T106" s="79" t="s">
        <v>310</v>
      </c>
      <c r="U106" s="79" t="s">
        <v>310</v>
      </c>
      <c r="V106" s="79" t="s">
        <v>310</v>
      </c>
      <c r="W106" s="79" t="s">
        <v>310</v>
      </c>
      <c r="X106" s="79" t="s">
        <v>310</v>
      </c>
      <c r="Y106" s="79" t="s">
        <v>310</v>
      </c>
      <c r="Z106" s="79" t="s">
        <v>310</v>
      </c>
      <c r="AA106" s="79" t="s">
        <v>310</v>
      </c>
      <c r="AB106" s="79" t="s">
        <v>310</v>
      </c>
      <c r="AC106" s="79" t="s">
        <v>310</v>
      </c>
      <c r="AD106" s="79" t="s">
        <v>310</v>
      </c>
      <c r="AE106" s="79" t="s">
        <v>310</v>
      </c>
      <c r="AF106" s="79" t="s">
        <v>310</v>
      </c>
      <c r="AG106" s="79" t="s">
        <v>310</v>
      </c>
      <c r="AH106" s="79" t="s">
        <v>310</v>
      </c>
      <c r="AI106" s="79" t="s">
        <v>310</v>
      </c>
      <c r="AJ106" s="79" t="s">
        <v>310</v>
      </c>
      <c r="AK106" s="79" t="s">
        <v>310</v>
      </c>
      <c r="AL106" s="79" t="s">
        <v>310</v>
      </c>
      <c r="AM106" s="79" t="s">
        <v>310</v>
      </c>
      <c r="AN106" s="79" t="s">
        <v>310</v>
      </c>
      <c r="AO106" s="79" t="s">
        <v>310</v>
      </c>
      <c r="AP106" s="79" t="s">
        <v>310</v>
      </c>
      <c r="AQ106" s="79" t="s">
        <v>310</v>
      </c>
      <c r="AR106" s="79" t="s">
        <v>310</v>
      </c>
      <c r="AS106" s="79" t="s">
        <v>310</v>
      </c>
      <c r="AT106" s="79" t="s">
        <v>310</v>
      </c>
      <c r="AU106" s="79" t="s">
        <v>310</v>
      </c>
      <c r="AV106" s="79" t="s">
        <v>310</v>
      </c>
      <c r="AW106" s="79" t="s">
        <v>310</v>
      </c>
      <c r="AX106" s="79" t="s">
        <v>310</v>
      </c>
      <c r="AY106" s="79" t="s">
        <v>310</v>
      </c>
      <c r="AZ106" s="79" t="s">
        <v>310</v>
      </c>
      <c r="BA106" s="79" t="s">
        <v>310</v>
      </c>
      <c r="BB106" s="79" t="s">
        <v>310</v>
      </c>
      <c r="BC106" s="79" t="s">
        <v>310</v>
      </c>
      <c r="BD106" s="79" t="s">
        <v>310</v>
      </c>
      <c r="BE106" s="79" t="s">
        <v>310</v>
      </c>
      <c r="BF106" s="79" t="s">
        <v>310</v>
      </c>
      <c r="BG106" s="79" t="s">
        <v>310</v>
      </c>
      <c r="BH106" s="79" t="s">
        <v>310</v>
      </c>
      <c r="BI106" s="79" t="s">
        <v>310</v>
      </c>
      <c r="BJ106" s="79" t="s">
        <v>310</v>
      </c>
    </row>
    <row r="107" spans="1:62" s="85" customFormat="1" x14ac:dyDescent="0.3">
      <c r="A107" s="43">
        <v>405009</v>
      </c>
      <c r="B107" s="44" t="s">
        <v>545</v>
      </c>
      <c r="C107" s="44" t="s">
        <v>546</v>
      </c>
      <c r="D107" s="44" t="str">
        <f t="shared" si="7"/>
        <v>405009_Cell phones expenses above the limits</v>
      </c>
      <c r="E107" s="81">
        <v>400000</v>
      </c>
      <c r="F107" s="81" t="s">
        <v>226</v>
      </c>
      <c r="G107" s="44" t="s">
        <v>197</v>
      </c>
      <c r="H107" s="44" t="str">
        <f t="shared" si="5"/>
        <v>400000_Personnel related expenses</v>
      </c>
      <c r="I107" s="81">
        <v>405000</v>
      </c>
      <c r="J107" s="81" t="s">
        <v>526</v>
      </c>
      <c r="K107" s="44" t="s">
        <v>527</v>
      </c>
      <c r="L107" s="44" t="str">
        <f t="shared" si="6"/>
        <v>405000_Compensations and benefits - employees</v>
      </c>
      <c r="M107" s="82" t="s">
        <v>350</v>
      </c>
      <c r="N107" s="83" t="s">
        <v>203</v>
      </c>
      <c r="O107" s="84" t="s">
        <v>310</v>
      </c>
      <c r="P107" s="84" t="s">
        <v>310</v>
      </c>
      <c r="Q107" s="84" t="s">
        <v>310</v>
      </c>
      <c r="R107" s="84" t="s">
        <v>310</v>
      </c>
      <c r="S107" s="84" t="s">
        <v>310</v>
      </c>
      <c r="T107" s="84" t="s">
        <v>310</v>
      </c>
      <c r="U107" s="84" t="s">
        <v>310</v>
      </c>
      <c r="V107" s="84" t="s">
        <v>310</v>
      </c>
      <c r="W107" s="84" t="s">
        <v>310</v>
      </c>
      <c r="X107" s="84" t="s">
        <v>310</v>
      </c>
      <c r="Y107" s="84" t="s">
        <v>310</v>
      </c>
      <c r="Z107" s="84" t="s">
        <v>310</v>
      </c>
      <c r="AA107" s="84" t="s">
        <v>310</v>
      </c>
      <c r="AB107" s="84" t="s">
        <v>310</v>
      </c>
      <c r="AC107" s="84" t="s">
        <v>310</v>
      </c>
      <c r="AD107" s="84" t="s">
        <v>310</v>
      </c>
      <c r="AE107" s="84" t="s">
        <v>310</v>
      </c>
      <c r="AF107" s="84" t="s">
        <v>310</v>
      </c>
      <c r="AG107" s="84" t="s">
        <v>310</v>
      </c>
      <c r="AH107" s="84" t="s">
        <v>310</v>
      </c>
      <c r="AI107" s="84" t="s">
        <v>310</v>
      </c>
      <c r="AJ107" s="84" t="s">
        <v>310</v>
      </c>
      <c r="AK107" s="84" t="s">
        <v>310</v>
      </c>
      <c r="AL107" s="84" t="s">
        <v>310</v>
      </c>
      <c r="AM107" s="84" t="s">
        <v>310</v>
      </c>
      <c r="AN107" s="84" t="s">
        <v>310</v>
      </c>
      <c r="AO107" s="84" t="s">
        <v>310</v>
      </c>
      <c r="AP107" s="84" t="s">
        <v>310</v>
      </c>
      <c r="AQ107" s="84" t="s">
        <v>310</v>
      </c>
      <c r="AR107" s="84" t="s">
        <v>310</v>
      </c>
      <c r="AS107" s="84" t="s">
        <v>310</v>
      </c>
      <c r="AT107" s="84" t="s">
        <v>310</v>
      </c>
      <c r="AU107" s="84" t="s">
        <v>310</v>
      </c>
      <c r="AV107" s="84" t="s">
        <v>310</v>
      </c>
      <c r="AW107" s="84" t="s">
        <v>310</v>
      </c>
      <c r="AX107" s="84" t="s">
        <v>310</v>
      </c>
      <c r="AY107" s="84" t="s">
        <v>310</v>
      </c>
      <c r="AZ107" s="84" t="s">
        <v>310</v>
      </c>
      <c r="BA107" s="84" t="s">
        <v>310</v>
      </c>
      <c r="BB107" s="84" t="s">
        <v>310</v>
      </c>
      <c r="BC107" s="84" t="s">
        <v>310</v>
      </c>
      <c r="BD107" s="84" t="s">
        <v>310</v>
      </c>
      <c r="BE107" s="84" t="s">
        <v>310</v>
      </c>
      <c r="BF107" s="84" t="s">
        <v>310</v>
      </c>
      <c r="BG107" s="84" t="s">
        <v>310</v>
      </c>
      <c r="BH107" s="84" t="s">
        <v>310</v>
      </c>
      <c r="BI107" s="84" t="s">
        <v>310</v>
      </c>
      <c r="BJ107" s="84" t="s">
        <v>310</v>
      </c>
    </row>
    <row r="108" spans="1:62" s="80" customFormat="1" x14ac:dyDescent="0.3">
      <c r="A108" s="45">
        <v>405010</v>
      </c>
      <c r="B108" s="46" t="s">
        <v>547</v>
      </c>
      <c r="C108" s="46" t="s">
        <v>548</v>
      </c>
      <c r="D108" s="46" t="str">
        <f t="shared" si="7"/>
        <v>405010_Training - faculty and academic</v>
      </c>
      <c r="E108" s="76">
        <v>400000</v>
      </c>
      <c r="F108" s="76" t="s">
        <v>226</v>
      </c>
      <c r="G108" s="76" t="s">
        <v>197</v>
      </c>
      <c r="H108" s="77" t="str">
        <f t="shared" si="5"/>
        <v>400000_Personnel related expenses</v>
      </c>
      <c r="I108" s="76">
        <v>405000</v>
      </c>
      <c r="J108" s="76" t="s">
        <v>526</v>
      </c>
      <c r="K108" s="76" t="s">
        <v>527</v>
      </c>
      <c r="L108" s="77" t="str">
        <f t="shared" si="6"/>
        <v>405000_Compensations and benefits - employees</v>
      </c>
      <c r="M108" s="76" t="s">
        <v>308</v>
      </c>
      <c r="N108" s="78" t="s">
        <v>549</v>
      </c>
      <c r="O108" s="79" t="s">
        <v>203</v>
      </c>
      <c r="P108" s="79" t="s">
        <v>203</v>
      </c>
      <c r="Q108" s="79" t="s">
        <v>203</v>
      </c>
      <c r="R108" s="79" t="s">
        <v>203</v>
      </c>
      <c r="S108" s="79" t="s">
        <v>203</v>
      </c>
      <c r="T108" s="79" t="s">
        <v>203</v>
      </c>
      <c r="U108" s="79" t="s">
        <v>203</v>
      </c>
      <c r="V108" s="79" t="s">
        <v>203</v>
      </c>
      <c r="W108" s="79" t="s">
        <v>203</v>
      </c>
      <c r="X108" s="79" t="s">
        <v>203</v>
      </c>
      <c r="Y108" s="79" t="s">
        <v>203</v>
      </c>
      <c r="Z108" s="79" t="s">
        <v>203</v>
      </c>
      <c r="AA108" s="79" t="s">
        <v>203</v>
      </c>
      <c r="AB108" s="79" t="s">
        <v>203</v>
      </c>
      <c r="AC108" s="79" t="s">
        <v>203</v>
      </c>
      <c r="AD108" s="79" t="s">
        <v>203</v>
      </c>
      <c r="AE108" s="79" t="s">
        <v>203</v>
      </c>
      <c r="AF108" s="79" t="s">
        <v>203</v>
      </c>
      <c r="AG108" s="79" t="s">
        <v>203</v>
      </c>
      <c r="AH108" s="79" t="s">
        <v>203</v>
      </c>
      <c r="AI108" s="79" t="s">
        <v>203</v>
      </c>
      <c r="AJ108" s="79" t="s">
        <v>203</v>
      </c>
      <c r="AK108" s="79" t="s">
        <v>310</v>
      </c>
      <c r="AL108" s="79" t="s">
        <v>203</v>
      </c>
      <c r="AM108" s="79" t="s">
        <v>203</v>
      </c>
      <c r="AN108" s="79" t="s">
        <v>203</v>
      </c>
      <c r="AO108" s="79" t="s">
        <v>203</v>
      </c>
      <c r="AP108" s="79" t="s">
        <v>203</v>
      </c>
      <c r="AQ108" s="79" t="s">
        <v>203</v>
      </c>
      <c r="AR108" s="79" t="s">
        <v>203</v>
      </c>
      <c r="AS108" s="79" t="s">
        <v>203</v>
      </c>
      <c r="AT108" s="79" t="s">
        <v>310</v>
      </c>
      <c r="AU108" s="79" t="s">
        <v>310</v>
      </c>
      <c r="AV108" s="79" t="s">
        <v>310</v>
      </c>
      <c r="AW108" s="79" t="s">
        <v>310</v>
      </c>
      <c r="AX108" s="79" t="s">
        <v>310</v>
      </c>
      <c r="AY108" s="79" t="s">
        <v>310</v>
      </c>
      <c r="AZ108" s="79" t="s">
        <v>310</v>
      </c>
      <c r="BA108" s="79" t="s">
        <v>310</v>
      </c>
      <c r="BB108" s="79" t="s">
        <v>310</v>
      </c>
      <c r="BC108" s="79" t="s">
        <v>310</v>
      </c>
      <c r="BD108" s="79" t="s">
        <v>310</v>
      </c>
      <c r="BE108" s="79" t="s">
        <v>310</v>
      </c>
      <c r="BF108" s="79" t="s">
        <v>310</v>
      </c>
      <c r="BG108" s="79" t="s">
        <v>310</v>
      </c>
      <c r="BH108" s="79" t="s">
        <v>310</v>
      </c>
      <c r="BI108" s="79" t="s">
        <v>310</v>
      </c>
      <c r="BJ108" s="79" t="s">
        <v>310</v>
      </c>
    </row>
    <row r="109" spans="1:62" s="85" customFormat="1" x14ac:dyDescent="0.3">
      <c r="A109" s="43">
        <v>405011</v>
      </c>
      <c r="B109" s="44" t="s">
        <v>550</v>
      </c>
      <c r="C109" s="44" t="s">
        <v>551</v>
      </c>
      <c r="D109" s="44" t="str">
        <f t="shared" si="7"/>
        <v>405011_Training - employees (excl. academic and faculty)</v>
      </c>
      <c r="E109" s="81">
        <v>400000</v>
      </c>
      <c r="F109" s="81" t="s">
        <v>226</v>
      </c>
      <c r="G109" s="44" t="s">
        <v>197</v>
      </c>
      <c r="H109" s="44" t="str">
        <f t="shared" si="5"/>
        <v>400000_Personnel related expenses</v>
      </c>
      <c r="I109" s="81">
        <v>405000</v>
      </c>
      <c r="J109" s="81" t="s">
        <v>526</v>
      </c>
      <c r="K109" s="44" t="s">
        <v>527</v>
      </c>
      <c r="L109" s="44" t="str">
        <f t="shared" si="6"/>
        <v>405000_Compensations and benefits - employees</v>
      </c>
      <c r="M109" s="82" t="s">
        <v>308</v>
      </c>
      <c r="N109" s="83" t="s">
        <v>203</v>
      </c>
      <c r="O109" s="84" t="s">
        <v>203</v>
      </c>
      <c r="P109" s="84" t="s">
        <v>203</v>
      </c>
      <c r="Q109" s="84" t="s">
        <v>203</v>
      </c>
      <c r="R109" s="84" t="s">
        <v>203</v>
      </c>
      <c r="S109" s="84" t="s">
        <v>203</v>
      </c>
      <c r="T109" s="84" t="s">
        <v>203</v>
      </c>
      <c r="U109" s="84" t="s">
        <v>203</v>
      </c>
      <c r="V109" s="84" t="s">
        <v>203</v>
      </c>
      <c r="W109" s="84" t="s">
        <v>203</v>
      </c>
      <c r="X109" s="84" t="s">
        <v>203</v>
      </c>
      <c r="Y109" s="84" t="s">
        <v>203</v>
      </c>
      <c r="Z109" s="84" t="s">
        <v>203</v>
      </c>
      <c r="AA109" s="84" t="s">
        <v>203</v>
      </c>
      <c r="AB109" s="84" t="s">
        <v>203</v>
      </c>
      <c r="AC109" s="84" t="s">
        <v>203</v>
      </c>
      <c r="AD109" s="84" t="s">
        <v>203</v>
      </c>
      <c r="AE109" s="84" t="s">
        <v>203</v>
      </c>
      <c r="AF109" s="84" t="s">
        <v>203</v>
      </c>
      <c r="AG109" s="84" t="s">
        <v>203</v>
      </c>
      <c r="AH109" s="84" t="s">
        <v>203</v>
      </c>
      <c r="AI109" s="84" t="s">
        <v>203</v>
      </c>
      <c r="AJ109" s="84" t="s">
        <v>203</v>
      </c>
      <c r="AK109" s="84" t="s">
        <v>310</v>
      </c>
      <c r="AL109" s="84" t="s">
        <v>203</v>
      </c>
      <c r="AM109" s="84" t="s">
        <v>203</v>
      </c>
      <c r="AN109" s="84" t="s">
        <v>203</v>
      </c>
      <c r="AO109" s="84" t="s">
        <v>203</v>
      </c>
      <c r="AP109" s="84" t="s">
        <v>203</v>
      </c>
      <c r="AQ109" s="84" t="s">
        <v>203</v>
      </c>
      <c r="AR109" s="84" t="s">
        <v>203</v>
      </c>
      <c r="AS109" s="84" t="s">
        <v>203</v>
      </c>
      <c r="AT109" s="84" t="s">
        <v>310</v>
      </c>
      <c r="AU109" s="84" t="s">
        <v>310</v>
      </c>
      <c r="AV109" s="84" t="s">
        <v>310</v>
      </c>
      <c r="AW109" s="84" t="s">
        <v>310</v>
      </c>
      <c r="AX109" s="84" t="s">
        <v>310</v>
      </c>
      <c r="AY109" s="84" t="s">
        <v>310</v>
      </c>
      <c r="AZ109" s="84" t="s">
        <v>310</v>
      </c>
      <c r="BA109" s="84" t="s">
        <v>310</v>
      </c>
      <c r="BB109" s="84" t="s">
        <v>310</v>
      </c>
      <c r="BC109" s="84" t="s">
        <v>310</v>
      </c>
      <c r="BD109" s="84" t="s">
        <v>310</v>
      </c>
      <c r="BE109" s="84" t="s">
        <v>310</v>
      </c>
      <c r="BF109" s="84" t="s">
        <v>310</v>
      </c>
      <c r="BG109" s="84" t="s">
        <v>310</v>
      </c>
      <c r="BH109" s="84" t="s">
        <v>310</v>
      </c>
      <c r="BI109" s="84" t="s">
        <v>310</v>
      </c>
      <c r="BJ109" s="84" t="s">
        <v>310</v>
      </c>
    </row>
    <row r="110" spans="1:62" s="80" customFormat="1" x14ac:dyDescent="0.3">
      <c r="A110" s="45">
        <v>406001</v>
      </c>
      <c r="B110" s="46" t="s">
        <v>232</v>
      </c>
      <c r="C110" s="46" t="s">
        <v>552</v>
      </c>
      <c r="D110" s="46" t="str">
        <f t="shared" si="7"/>
        <v>406001_Social insurance contribution - faculty</v>
      </c>
      <c r="E110" s="76">
        <v>400000</v>
      </c>
      <c r="F110" s="76" t="s">
        <v>226</v>
      </c>
      <c r="G110" s="76" t="s">
        <v>197</v>
      </c>
      <c r="H110" s="77" t="str">
        <f t="shared" si="5"/>
        <v>400000_Personnel related expenses</v>
      </c>
      <c r="I110" s="76">
        <v>406000</v>
      </c>
      <c r="J110" s="76" t="s">
        <v>4</v>
      </c>
      <c r="K110" s="76" t="s">
        <v>553</v>
      </c>
      <c r="L110" s="77" t="str">
        <f t="shared" si="6"/>
        <v>406000_Social insurance contribution</v>
      </c>
      <c r="M110" s="76" t="s">
        <v>308</v>
      </c>
      <c r="N110" s="78" t="s">
        <v>203</v>
      </c>
      <c r="O110" s="79" t="s">
        <v>203</v>
      </c>
      <c r="P110" s="79" t="s">
        <v>203</v>
      </c>
      <c r="Q110" s="79" t="s">
        <v>203</v>
      </c>
      <c r="R110" s="79" t="s">
        <v>203</v>
      </c>
      <c r="S110" s="79" t="s">
        <v>203</v>
      </c>
      <c r="T110" s="79" t="s">
        <v>203</v>
      </c>
      <c r="U110" s="79" t="s">
        <v>203</v>
      </c>
      <c r="V110" s="79" t="s">
        <v>203</v>
      </c>
      <c r="W110" s="79" t="s">
        <v>203</v>
      </c>
      <c r="X110" s="79" t="s">
        <v>203</v>
      </c>
      <c r="Y110" s="79" t="s">
        <v>203</v>
      </c>
      <c r="Z110" s="79" t="s">
        <v>203</v>
      </c>
      <c r="AA110" s="79" t="s">
        <v>203</v>
      </c>
      <c r="AB110" s="79" t="s">
        <v>203</v>
      </c>
      <c r="AC110" s="79" t="s">
        <v>203</v>
      </c>
      <c r="AD110" s="79" t="s">
        <v>203</v>
      </c>
      <c r="AE110" s="79" t="s">
        <v>203</v>
      </c>
      <c r="AF110" s="79" t="s">
        <v>203</v>
      </c>
      <c r="AG110" s="79" t="s">
        <v>203</v>
      </c>
      <c r="AH110" s="79" t="s">
        <v>203</v>
      </c>
      <c r="AI110" s="79" t="s">
        <v>203</v>
      </c>
      <c r="AJ110" s="79" t="s">
        <v>203</v>
      </c>
      <c r="AK110" s="79" t="s">
        <v>203</v>
      </c>
      <c r="AL110" s="79" t="s">
        <v>203</v>
      </c>
      <c r="AM110" s="79" t="s">
        <v>203</v>
      </c>
      <c r="AN110" s="79" t="s">
        <v>203</v>
      </c>
      <c r="AO110" s="79" t="s">
        <v>203</v>
      </c>
      <c r="AP110" s="79" t="s">
        <v>203</v>
      </c>
      <c r="AQ110" s="79" t="s">
        <v>310</v>
      </c>
      <c r="AR110" s="79" t="s">
        <v>310</v>
      </c>
      <c r="AS110" s="79" t="s">
        <v>203</v>
      </c>
      <c r="AT110" s="79" t="s">
        <v>310</v>
      </c>
      <c r="AU110" s="79" t="s">
        <v>310</v>
      </c>
      <c r="AV110" s="79" t="s">
        <v>310</v>
      </c>
      <c r="AW110" s="79" t="s">
        <v>310</v>
      </c>
      <c r="AX110" s="79" t="s">
        <v>310</v>
      </c>
      <c r="AY110" s="79" t="s">
        <v>310</v>
      </c>
      <c r="AZ110" s="79" t="s">
        <v>310</v>
      </c>
      <c r="BA110" s="79" t="s">
        <v>310</v>
      </c>
      <c r="BB110" s="79" t="s">
        <v>310</v>
      </c>
      <c r="BC110" s="79" t="s">
        <v>310</v>
      </c>
      <c r="BD110" s="79" t="s">
        <v>310</v>
      </c>
      <c r="BE110" s="79" t="s">
        <v>310</v>
      </c>
      <c r="BF110" s="79" t="s">
        <v>310</v>
      </c>
      <c r="BG110" s="79" t="s">
        <v>310</v>
      </c>
      <c r="BH110" s="79" t="s">
        <v>310</v>
      </c>
      <c r="BI110" s="79" t="s">
        <v>310</v>
      </c>
      <c r="BJ110" s="79" t="s">
        <v>310</v>
      </c>
    </row>
    <row r="111" spans="1:62" s="85" customFormat="1" x14ac:dyDescent="0.3">
      <c r="A111" s="43">
        <v>406002</v>
      </c>
      <c r="B111" s="44" t="s">
        <v>233</v>
      </c>
      <c r="C111" s="44" t="s">
        <v>554</v>
      </c>
      <c r="D111" s="44" t="str">
        <f t="shared" si="7"/>
        <v>406002_Social insurance contribution - academic</v>
      </c>
      <c r="E111" s="81">
        <v>400000</v>
      </c>
      <c r="F111" s="81" t="s">
        <v>226</v>
      </c>
      <c r="G111" s="44" t="s">
        <v>197</v>
      </c>
      <c r="H111" s="44" t="str">
        <f t="shared" si="5"/>
        <v>400000_Personnel related expenses</v>
      </c>
      <c r="I111" s="81">
        <v>406000</v>
      </c>
      <c r="J111" s="81" t="s">
        <v>4</v>
      </c>
      <c r="K111" s="44" t="s">
        <v>553</v>
      </c>
      <c r="L111" s="44" t="str">
        <f t="shared" si="6"/>
        <v>406000_Social insurance contribution</v>
      </c>
      <c r="M111" s="82" t="s">
        <v>308</v>
      </c>
      <c r="N111" s="83" t="s">
        <v>203</v>
      </c>
      <c r="O111" s="84" t="s">
        <v>310</v>
      </c>
      <c r="P111" s="84" t="s">
        <v>310</v>
      </c>
      <c r="Q111" s="84" t="s">
        <v>310</v>
      </c>
      <c r="R111" s="84" t="s">
        <v>310</v>
      </c>
      <c r="S111" s="84" t="s">
        <v>310</v>
      </c>
      <c r="T111" s="84" t="s">
        <v>310</v>
      </c>
      <c r="U111" s="84" t="s">
        <v>310</v>
      </c>
      <c r="V111" s="84" t="s">
        <v>310</v>
      </c>
      <c r="W111" s="84" t="s">
        <v>310</v>
      </c>
      <c r="X111" s="84" t="s">
        <v>310</v>
      </c>
      <c r="Y111" s="84" t="s">
        <v>310</v>
      </c>
      <c r="Z111" s="84" t="s">
        <v>310</v>
      </c>
      <c r="AA111" s="84" t="s">
        <v>310</v>
      </c>
      <c r="AB111" s="84" t="s">
        <v>310</v>
      </c>
      <c r="AC111" s="84" t="s">
        <v>310</v>
      </c>
      <c r="AD111" s="84" t="s">
        <v>203</v>
      </c>
      <c r="AE111" s="84" t="s">
        <v>203</v>
      </c>
      <c r="AF111" s="84" t="s">
        <v>203</v>
      </c>
      <c r="AG111" s="84" t="s">
        <v>203</v>
      </c>
      <c r="AH111" s="84" t="s">
        <v>203</v>
      </c>
      <c r="AI111" s="84" t="s">
        <v>203</v>
      </c>
      <c r="AJ111" s="84" t="s">
        <v>203</v>
      </c>
      <c r="AK111" s="84" t="s">
        <v>203</v>
      </c>
      <c r="AL111" s="84" t="s">
        <v>203</v>
      </c>
      <c r="AM111" s="84" t="s">
        <v>203</v>
      </c>
      <c r="AN111" s="84" t="s">
        <v>203</v>
      </c>
      <c r="AO111" s="84" t="s">
        <v>310</v>
      </c>
      <c r="AP111" s="84" t="s">
        <v>203</v>
      </c>
      <c r="AQ111" s="84" t="s">
        <v>310</v>
      </c>
      <c r="AR111" s="84" t="s">
        <v>310</v>
      </c>
      <c r="AS111" s="84" t="s">
        <v>310</v>
      </c>
      <c r="AT111" s="84" t="s">
        <v>310</v>
      </c>
      <c r="AU111" s="84" t="s">
        <v>310</v>
      </c>
      <c r="AV111" s="84" t="s">
        <v>310</v>
      </c>
      <c r="AW111" s="84" t="s">
        <v>310</v>
      </c>
      <c r="AX111" s="84" t="s">
        <v>310</v>
      </c>
      <c r="AY111" s="84" t="s">
        <v>310</v>
      </c>
      <c r="AZ111" s="84" t="s">
        <v>310</v>
      </c>
      <c r="BA111" s="84" t="s">
        <v>310</v>
      </c>
      <c r="BB111" s="84" t="s">
        <v>310</v>
      </c>
      <c r="BC111" s="84" t="s">
        <v>310</v>
      </c>
      <c r="BD111" s="84" t="s">
        <v>310</v>
      </c>
      <c r="BE111" s="84" t="s">
        <v>310</v>
      </c>
      <c r="BF111" s="84" t="s">
        <v>310</v>
      </c>
      <c r="BG111" s="84" t="s">
        <v>310</v>
      </c>
      <c r="BH111" s="84" t="s">
        <v>310</v>
      </c>
      <c r="BI111" s="84" t="s">
        <v>310</v>
      </c>
      <c r="BJ111" s="84" t="s">
        <v>310</v>
      </c>
    </row>
    <row r="112" spans="1:62" s="80" customFormat="1" x14ac:dyDescent="0.3">
      <c r="A112" s="45">
        <v>406003</v>
      </c>
      <c r="B112" s="46" t="s">
        <v>234</v>
      </c>
      <c r="C112" s="46" t="s">
        <v>555</v>
      </c>
      <c r="D112" s="46" t="str">
        <f t="shared" si="7"/>
        <v>406003_Social insurance contribution - employees (excl. academic and faculty)</v>
      </c>
      <c r="E112" s="76">
        <v>400000</v>
      </c>
      <c r="F112" s="76" t="s">
        <v>226</v>
      </c>
      <c r="G112" s="76" t="s">
        <v>197</v>
      </c>
      <c r="H112" s="77" t="str">
        <f t="shared" si="5"/>
        <v>400000_Personnel related expenses</v>
      </c>
      <c r="I112" s="76">
        <v>406000</v>
      </c>
      <c r="J112" s="76" t="s">
        <v>4</v>
      </c>
      <c r="K112" s="76" t="s">
        <v>553</v>
      </c>
      <c r="L112" s="77" t="str">
        <f t="shared" si="6"/>
        <v>406000_Social insurance contribution</v>
      </c>
      <c r="M112" s="76" t="s">
        <v>308</v>
      </c>
      <c r="N112" s="78" t="s">
        <v>203</v>
      </c>
      <c r="O112" s="79" t="s">
        <v>310</v>
      </c>
      <c r="P112" s="79" t="s">
        <v>310</v>
      </c>
      <c r="Q112" s="79" t="s">
        <v>310</v>
      </c>
      <c r="R112" s="79" t="s">
        <v>310</v>
      </c>
      <c r="S112" s="79" t="s">
        <v>310</v>
      </c>
      <c r="T112" s="79" t="s">
        <v>310</v>
      </c>
      <c r="U112" s="79" t="s">
        <v>310</v>
      </c>
      <c r="V112" s="79" t="s">
        <v>310</v>
      </c>
      <c r="W112" s="79" t="s">
        <v>310</v>
      </c>
      <c r="X112" s="79" t="s">
        <v>310</v>
      </c>
      <c r="Y112" s="79" t="s">
        <v>310</v>
      </c>
      <c r="Z112" s="79" t="s">
        <v>310</v>
      </c>
      <c r="AA112" s="79" t="s">
        <v>310</v>
      </c>
      <c r="AB112" s="79" t="s">
        <v>310</v>
      </c>
      <c r="AC112" s="79" t="s">
        <v>310</v>
      </c>
      <c r="AD112" s="79" t="s">
        <v>310</v>
      </c>
      <c r="AE112" s="79" t="s">
        <v>310</v>
      </c>
      <c r="AF112" s="79" t="s">
        <v>310</v>
      </c>
      <c r="AG112" s="79" t="s">
        <v>310</v>
      </c>
      <c r="AH112" s="79" t="s">
        <v>310</v>
      </c>
      <c r="AI112" s="79" t="s">
        <v>310</v>
      </c>
      <c r="AJ112" s="79" t="s">
        <v>310</v>
      </c>
      <c r="AK112" s="79" t="s">
        <v>310</v>
      </c>
      <c r="AL112" s="79" t="s">
        <v>310</v>
      </c>
      <c r="AM112" s="79" t="s">
        <v>310</v>
      </c>
      <c r="AN112" s="79" t="s">
        <v>310</v>
      </c>
      <c r="AO112" s="79" t="s">
        <v>310</v>
      </c>
      <c r="AP112" s="79" t="s">
        <v>310</v>
      </c>
      <c r="AQ112" s="79" t="s">
        <v>310</v>
      </c>
      <c r="AR112" s="79" t="s">
        <v>310</v>
      </c>
      <c r="AS112" s="79" t="s">
        <v>310</v>
      </c>
      <c r="AT112" s="79" t="s">
        <v>310</v>
      </c>
      <c r="AU112" s="79" t="s">
        <v>310</v>
      </c>
      <c r="AV112" s="79" t="s">
        <v>310</v>
      </c>
      <c r="AW112" s="79" t="s">
        <v>310</v>
      </c>
      <c r="AX112" s="79" t="s">
        <v>310</v>
      </c>
      <c r="AY112" s="79" t="s">
        <v>310</v>
      </c>
      <c r="AZ112" s="79" t="s">
        <v>310</v>
      </c>
      <c r="BA112" s="79" t="s">
        <v>310</v>
      </c>
      <c r="BB112" s="79" t="s">
        <v>310</v>
      </c>
      <c r="BC112" s="79" t="s">
        <v>310</v>
      </c>
      <c r="BD112" s="79" t="s">
        <v>310</v>
      </c>
      <c r="BE112" s="79" t="s">
        <v>310</v>
      </c>
      <c r="BF112" s="79" t="s">
        <v>310</v>
      </c>
      <c r="BG112" s="79" t="s">
        <v>310</v>
      </c>
      <c r="BH112" s="79" t="s">
        <v>310</v>
      </c>
      <c r="BI112" s="79" t="s">
        <v>310</v>
      </c>
      <c r="BJ112" s="79" t="s">
        <v>310</v>
      </c>
    </row>
    <row r="113" spans="1:62" s="85" customFormat="1" x14ac:dyDescent="0.3">
      <c r="A113" s="43">
        <v>406099</v>
      </c>
      <c r="B113" s="44" t="s">
        <v>556</v>
      </c>
      <c r="C113" s="44" t="s">
        <v>557</v>
      </c>
      <c r="D113" s="44" t="str">
        <f t="shared" si="7"/>
        <v>406099_Social insurance contribution - substitution</v>
      </c>
      <c r="E113" s="81">
        <v>400000</v>
      </c>
      <c r="F113" s="81" t="s">
        <v>226</v>
      </c>
      <c r="G113" s="44" t="s">
        <v>197</v>
      </c>
      <c r="H113" s="44" t="str">
        <f t="shared" si="5"/>
        <v>400000_Personnel related expenses</v>
      </c>
      <c r="I113" s="81">
        <v>406000</v>
      </c>
      <c r="J113" s="81" t="s">
        <v>4</v>
      </c>
      <c r="K113" s="44" t="s">
        <v>553</v>
      </c>
      <c r="L113" s="44" t="str">
        <f t="shared" si="6"/>
        <v>406000_Social insurance contribution</v>
      </c>
      <c r="M113" s="82" t="s">
        <v>350</v>
      </c>
      <c r="N113" s="83" t="s">
        <v>203</v>
      </c>
      <c r="O113" s="84" t="s">
        <v>310</v>
      </c>
      <c r="P113" s="84" t="s">
        <v>310</v>
      </c>
      <c r="Q113" s="84" t="s">
        <v>310</v>
      </c>
      <c r="R113" s="84" t="s">
        <v>310</v>
      </c>
      <c r="S113" s="84" t="s">
        <v>310</v>
      </c>
      <c r="T113" s="84" t="s">
        <v>310</v>
      </c>
      <c r="U113" s="84" t="s">
        <v>310</v>
      </c>
      <c r="V113" s="84" t="s">
        <v>310</v>
      </c>
      <c r="W113" s="84" t="s">
        <v>310</v>
      </c>
      <c r="X113" s="84" t="s">
        <v>310</v>
      </c>
      <c r="Y113" s="84" t="s">
        <v>310</v>
      </c>
      <c r="Z113" s="84" t="s">
        <v>310</v>
      </c>
      <c r="AA113" s="84" t="s">
        <v>310</v>
      </c>
      <c r="AB113" s="84" t="s">
        <v>310</v>
      </c>
      <c r="AC113" s="84" t="s">
        <v>310</v>
      </c>
      <c r="AD113" s="84" t="s">
        <v>310</v>
      </c>
      <c r="AE113" s="84" t="s">
        <v>310</v>
      </c>
      <c r="AF113" s="84" t="s">
        <v>310</v>
      </c>
      <c r="AG113" s="84" t="s">
        <v>310</v>
      </c>
      <c r="AH113" s="84" t="s">
        <v>310</v>
      </c>
      <c r="AI113" s="84" t="s">
        <v>310</v>
      </c>
      <c r="AJ113" s="84" t="s">
        <v>310</v>
      </c>
      <c r="AK113" s="84" t="s">
        <v>310</v>
      </c>
      <c r="AL113" s="84" t="s">
        <v>310</v>
      </c>
      <c r="AM113" s="84" t="s">
        <v>310</v>
      </c>
      <c r="AN113" s="84" t="s">
        <v>310</v>
      </c>
      <c r="AO113" s="84" t="s">
        <v>310</v>
      </c>
      <c r="AP113" s="84" t="s">
        <v>310</v>
      </c>
      <c r="AQ113" s="84" t="s">
        <v>310</v>
      </c>
      <c r="AR113" s="84" t="s">
        <v>310</v>
      </c>
      <c r="AS113" s="84" t="s">
        <v>310</v>
      </c>
      <c r="AT113" s="84" t="s">
        <v>310</v>
      </c>
      <c r="AU113" s="84" t="s">
        <v>310</v>
      </c>
      <c r="AV113" s="84" t="s">
        <v>310</v>
      </c>
      <c r="AW113" s="84" t="s">
        <v>310</v>
      </c>
      <c r="AX113" s="84" t="s">
        <v>310</v>
      </c>
      <c r="AY113" s="84" t="s">
        <v>310</v>
      </c>
      <c r="AZ113" s="84" t="s">
        <v>310</v>
      </c>
      <c r="BA113" s="84" t="s">
        <v>310</v>
      </c>
      <c r="BB113" s="84" t="s">
        <v>310</v>
      </c>
      <c r="BC113" s="84" t="s">
        <v>310</v>
      </c>
      <c r="BD113" s="84" t="s">
        <v>310</v>
      </c>
      <c r="BE113" s="84" t="s">
        <v>310</v>
      </c>
      <c r="BF113" s="84" t="s">
        <v>310</v>
      </c>
      <c r="BG113" s="84" t="s">
        <v>310</v>
      </c>
      <c r="BH113" s="84" t="s">
        <v>310</v>
      </c>
      <c r="BI113" s="84" t="s">
        <v>310</v>
      </c>
      <c r="BJ113" s="84" t="s">
        <v>310</v>
      </c>
    </row>
    <row r="114" spans="1:62" s="80" customFormat="1" x14ac:dyDescent="0.3">
      <c r="A114" s="45">
        <v>407001</v>
      </c>
      <c r="B114" s="46" t="s">
        <v>236</v>
      </c>
      <c r="C114" s="46" t="s">
        <v>558</v>
      </c>
      <c r="D114" s="46" t="str">
        <f t="shared" si="7"/>
        <v>407001_Voluntary health and travel insurance - employees</v>
      </c>
      <c r="E114" s="76">
        <v>400000</v>
      </c>
      <c r="F114" s="76" t="s">
        <v>226</v>
      </c>
      <c r="G114" s="76" t="s">
        <v>197</v>
      </c>
      <c r="H114" s="77" t="str">
        <f t="shared" si="5"/>
        <v>400000_Personnel related expenses</v>
      </c>
      <c r="I114" s="76">
        <v>407000</v>
      </c>
      <c r="J114" s="76" t="s">
        <v>235</v>
      </c>
      <c r="K114" s="76" t="s">
        <v>559</v>
      </c>
      <c r="L114" s="77" t="str">
        <f t="shared" si="6"/>
        <v>407000_Insurance - employees</v>
      </c>
      <c r="M114" s="76" t="s">
        <v>308</v>
      </c>
      <c r="N114" s="78" t="s">
        <v>203</v>
      </c>
      <c r="O114" s="79" t="s">
        <v>310</v>
      </c>
      <c r="P114" s="79" t="s">
        <v>310</v>
      </c>
      <c r="Q114" s="79" t="s">
        <v>310</v>
      </c>
      <c r="R114" s="79" t="s">
        <v>310</v>
      </c>
      <c r="S114" s="79" t="s">
        <v>310</v>
      </c>
      <c r="T114" s="79" t="s">
        <v>310</v>
      </c>
      <c r="U114" s="79" t="s">
        <v>310</v>
      </c>
      <c r="V114" s="79" t="s">
        <v>310</v>
      </c>
      <c r="W114" s="79" t="s">
        <v>310</v>
      </c>
      <c r="X114" s="79" t="s">
        <v>310</v>
      </c>
      <c r="Y114" s="79" t="s">
        <v>310</v>
      </c>
      <c r="Z114" s="79" t="s">
        <v>310</v>
      </c>
      <c r="AA114" s="79" t="s">
        <v>310</v>
      </c>
      <c r="AB114" s="79" t="s">
        <v>310</v>
      </c>
      <c r="AC114" s="79" t="s">
        <v>310</v>
      </c>
      <c r="AD114" s="79" t="s">
        <v>310</v>
      </c>
      <c r="AE114" s="79" t="s">
        <v>310</v>
      </c>
      <c r="AF114" s="79" t="s">
        <v>310</v>
      </c>
      <c r="AG114" s="79" t="s">
        <v>310</v>
      </c>
      <c r="AH114" s="79" t="s">
        <v>310</v>
      </c>
      <c r="AI114" s="79" t="s">
        <v>310</v>
      </c>
      <c r="AJ114" s="79" t="s">
        <v>310</v>
      </c>
      <c r="AK114" s="79" t="s">
        <v>310</v>
      </c>
      <c r="AL114" s="79" t="s">
        <v>310</v>
      </c>
      <c r="AM114" s="79" t="s">
        <v>310</v>
      </c>
      <c r="AN114" s="79" t="s">
        <v>310</v>
      </c>
      <c r="AO114" s="79" t="s">
        <v>310</v>
      </c>
      <c r="AP114" s="79" t="s">
        <v>310</v>
      </c>
      <c r="AQ114" s="79" t="s">
        <v>310</v>
      </c>
      <c r="AR114" s="79" t="s">
        <v>310</v>
      </c>
      <c r="AS114" s="79" t="s">
        <v>310</v>
      </c>
      <c r="AT114" s="79" t="s">
        <v>310</v>
      </c>
      <c r="AU114" s="79" t="s">
        <v>310</v>
      </c>
      <c r="AV114" s="79" t="s">
        <v>310</v>
      </c>
      <c r="AW114" s="79" t="s">
        <v>310</v>
      </c>
      <c r="AX114" s="79" t="s">
        <v>310</v>
      </c>
      <c r="AY114" s="79" t="s">
        <v>310</v>
      </c>
      <c r="AZ114" s="79" t="s">
        <v>310</v>
      </c>
      <c r="BA114" s="79" t="s">
        <v>310</v>
      </c>
      <c r="BB114" s="79" t="s">
        <v>310</v>
      </c>
      <c r="BC114" s="79" t="s">
        <v>310</v>
      </c>
      <c r="BD114" s="79" t="s">
        <v>310</v>
      </c>
      <c r="BE114" s="79" t="s">
        <v>310</v>
      </c>
      <c r="BF114" s="79" t="s">
        <v>310</v>
      </c>
      <c r="BG114" s="79" t="s">
        <v>310</v>
      </c>
      <c r="BH114" s="79" t="s">
        <v>310</v>
      </c>
      <c r="BI114" s="79" t="s">
        <v>310</v>
      </c>
      <c r="BJ114" s="79" t="s">
        <v>310</v>
      </c>
    </row>
    <row r="115" spans="1:62" s="85" customFormat="1" x14ac:dyDescent="0.3">
      <c r="A115" s="43">
        <v>407002</v>
      </c>
      <c r="B115" s="44" t="s">
        <v>237</v>
      </c>
      <c r="C115" s="44" t="s">
        <v>560</v>
      </c>
      <c r="D115" s="44" t="str">
        <f t="shared" si="7"/>
        <v>407002_Personal accident and life insurance</v>
      </c>
      <c r="E115" s="81">
        <v>400000</v>
      </c>
      <c r="F115" s="81" t="s">
        <v>226</v>
      </c>
      <c r="G115" s="44" t="s">
        <v>197</v>
      </c>
      <c r="H115" s="44" t="str">
        <f t="shared" si="5"/>
        <v>400000_Personnel related expenses</v>
      </c>
      <c r="I115" s="81">
        <v>407000</v>
      </c>
      <c r="J115" s="81" t="s">
        <v>235</v>
      </c>
      <c r="K115" s="44" t="s">
        <v>559</v>
      </c>
      <c r="L115" s="44" t="str">
        <f t="shared" si="6"/>
        <v>407000_Insurance - employees</v>
      </c>
      <c r="M115" s="82" t="s">
        <v>308</v>
      </c>
      <c r="N115" s="83" t="s">
        <v>203</v>
      </c>
      <c r="O115" s="84" t="s">
        <v>310</v>
      </c>
      <c r="P115" s="84" t="s">
        <v>310</v>
      </c>
      <c r="Q115" s="84" t="s">
        <v>310</v>
      </c>
      <c r="R115" s="84" t="s">
        <v>310</v>
      </c>
      <c r="S115" s="84" t="s">
        <v>310</v>
      </c>
      <c r="T115" s="84" t="s">
        <v>310</v>
      </c>
      <c r="U115" s="84" t="s">
        <v>310</v>
      </c>
      <c r="V115" s="84" t="s">
        <v>310</v>
      </c>
      <c r="W115" s="84" t="s">
        <v>310</v>
      </c>
      <c r="X115" s="84" t="s">
        <v>310</v>
      </c>
      <c r="Y115" s="84" t="s">
        <v>310</v>
      </c>
      <c r="Z115" s="84" t="s">
        <v>310</v>
      </c>
      <c r="AA115" s="84" t="s">
        <v>310</v>
      </c>
      <c r="AB115" s="84" t="s">
        <v>310</v>
      </c>
      <c r="AC115" s="84" t="s">
        <v>310</v>
      </c>
      <c r="AD115" s="84" t="s">
        <v>310</v>
      </c>
      <c r="AE115" s="84" t="s">
        <v>310</v>
      </c>
      <c r="AF115" s="84" t="s">
        <v>310</v>
      </c>
      <c r="AG115" s="84" t="s">
        <v>310</v>
      </c>
      <c r="AH115" s="84" t="s">
        <v>310</v>
      </c>
      <c r="AI115" s="84" t="s">
        <v>310</v>
      </c>
      <c r="AJ115" s="84" t="s">
        <v>310</v>
      </c>
      <c r="AK115" s="84" t="s">
        <v>310</v>
      </c>
      <c r="AL115" s="84" t="s">
        <v>310</v>
      </c>
      <c r="AM115" s="84" t="s">
        <v>310</v>
      </c>
      <c r="AN115" s="84" t="s">
        <v>310</v>
      </c>
      <c r="AO115" s="84" t="s">
        <v>310</v>
      </c>
      <c r="AP115" s="84" t="s">
        <v>310</v>
      </c>
      <c r="AQ115" s="84" t="s">
        <v>310</v>
      </c>
      <c r="AR115" s="84" t="s">
        <v>310</v>
      </c>
      <c r="AS115" s="84" t="s">
        <v>310</v>
      </c>
      <c r="AT115" s="84" t="s">
        <v>310</v>
      </c>
      <c r="AU115" s="84" t="s">
        <v>310</v>
      </c>
      <c r="AV115" s="84" t="s">
        <v>310</v>
      </c>
      <c r="AW115" s="84" t="s">
        <v>310</v>
      </c>
      <c r="AX115" s="84" t="s">
        <v>310</v>
      </c>
      <c r="AY115" s="84" t="s">
        <v>310</v>
      </c>
      <c r="AZ115" s="84" t="s">
        <v>310</v>
      </c>
      <c r="BA115" s="84" t="s">
        <v>310</v>
      </c>
      <c r="BB115" s="84" t="s">
        <v>310</v>
      </c>
      <c r="BC115" s="84" t="s">
        <v>310</v>
      </c>
      <c r="BD115" s="84" t="s">
        <v>310</v>
      </c>
      <c r="BE115" s="84" t="s">
        <v>310</v>
      </c>
      <c r="BF115" s="84" t="s">
        <v>310</v>
      </c>
      <c r="BG115" s="84" t="s">
        <v>310</v>
      </c>
      <c r="BH115" s="84" t="s">
        <v>310</v>
      </c>
      <c r="BI115" s="84" t="s">
        <v>310</v>
      </c>
      <c r="BJ115" s="84" t="s">
        <v>310</v>
      </c>
    </row>
    <row r="116" spans="1:62" s="80" customFormat="1" x14ac:dyDescent="0.3">
      <c r="A116" s="45">
        <v>407999</v>
      </c>
      <c r="B116" s="46" t="s">
        <v>561</v>
      </c>
      <c r="C116" s="46" t="s">
        <v>562</v>
      </c>
      <c r="D116" s="46" t="str">
        <f t="shared" si="7"/>
        <v>407999_Other insurance - employees</v>
      </c>
      <c r="E116" s="76">
        <v>400000</v>
      </c>
      <c r="F116" s="76" t="s">
        <v>226</v>
      </c>
      <c r="G116" s="76" t="s">
        <v>197</v>
      </c>
      <c r="H116" s="77" t="str">
        <f t="shared" si="5"/>
        <v>400000_Personnel related expenses</v>
      </c>
      <c r="I116" s="76">
        <v>407000</v>
      </c>
      <c r="J116" s="76" t="s">
        <v>235</v>
      </c>
      <c r="K116" s="76" t="s">
        <v>559</v>
      </c>
      <c r="L116" s="77" t="str">
        <f t="shared" si="6"/>
        <v>407000_Insurance - employees</v>
      </c>
      <c r="M116" s="76" t="s">
        <v>308</v>
      </c>
      <c r="N116" s="78" t="s">
        <v>203</v>
      </c>
      <c r="O116" s="79" t="s">
        <v>310</v>
      </c>
      <c r="P116" s="79" t="s">
        <v>310</v>
      </c>
      <c r="Q116" s="79" t="s">
        <v>310</v>
      </c>
      <c r="R116" s="79" t="s">
        <v>310</v>
      </c>
      <c r="S116" s="79" t="s">
        <v>310</v>
      </c>
      <c r="T116" s="79" t="s">
        <v>310</v>
      </c>
      <c r="U116" s="79" t="s">
        <v>310</v>
      </c>
      <c r="V116" s="79" t="s">
        <v>310</v>
      </c>
      <c r="W116" s="79" t="s">
        <v>310</v>
      </c>
      <c r="X116" s="79" t="s">
        <v>310</v>
      </c>
      <c r="Y116" s="79" t="s">
        <v>310</v>
      </c>
      <c r="Z116" s="79" t="s">
        <v>310</v>
      </c>
      <c r="AA116" s="79" t="s">
        <v>310</v>
      </c>
      <c r="AB116" s="79" t="s">
        <v>310</v>
      </c>
      <c r="AC116" s="79" t="s">
        <v>310</v>
      </c>
      <c r="AD116" s="79" t="s">
        <v>310</v>
      </c>
      <c r="AE116" s="79" t="s">
        <v>310</v>
      </c>
      <c r="AF116" s="79" t="s">
        <v>310</v>
      </c>
      <c r="AG116" s="79" t="s">
        <v>310</v>
      </c>
      <c r="AH116" s="79" t="s">
        <v>310</v>
      </c>
      <c r="AI116" s="79" t="s">
        <v>310</v>
      </c>
      <c r="AJ116" s="79" t="s">
        <v>310</v>
      </c>
      <c r="AK116" s="79" t="s">
        <v>310</v>
      </c>
      <c r="AL116" s="79" t="s">
        <v>310</v>
      </c>
      <c r="AM116" s="79" t="s">
        <v>310</v>
      </c>
      <c r="AN116" s="79" t="s">
        <v>310</v>
      </c>
      <c r="AO116" s="79" t="s">
        <v>310</v>
      </c>
      <c r="AP116" s="79" t="s">
        <v>310</v>
      </c>
      <c r="AQ116" s="79" t="s">
        <v>310</v>
      </c>
      <c r="AR116" s="79" t="s">
        <v>310</v>
      </c>
      <c r="AS116" s="79" t="s">
        <v>310</v>
      </c>
      <c r="AT116" s="79" t="s">
        <v>310</v>
      </c>
      <c r="AU116" s="79" t="s">
        <v>310</v>
      </c>
      <c r="AV116" s="79" t="s">
        <v>310</v>
      </c>
      <c r="AW116" s="79" t="s">
        <v>310</v>
      </c>
      <c r="AX116" s="79" t="s">
        <v>310</v>
      </c>
      <c r="AY116" s="79" t="s">
        <v>310</v>
      </c>
      <c r="AZ116" s="79" t="s">
        <v>310</v>
      </c>
      <c r="BA116" s="79" t="s">
        <v>310</v>
      </c>
      <c r="BB116" s="79" t="s">
        <v>310</v>
      </c>
      <c r="BC116" s="79" t="s">
        <v>310</v>
      </c>
      <c r="BD116" s="79" t="s">
        <v>310</v>
      </c>
      <c r="BE116" s="79" t="s">
        <v>310</v>
      </c>
      <c r="BF116" s="79" t="s">
        <v>310</v>
      </c>
      <c r="BG116" s="79" t="s">
        <v>310</v>
      </c>
      <c r="BH116" s="79" t="s">
        <v>310</v>
      </c>
      <c r="BI116" s="79" t="s">
        <v>310</v>
      </c>
      <c r="BJ116" s="79" t="s">
        <v>310</v>
      </c>
    </row>
    <row r="117" spans="1:62" s="85" customFormat="1" x14ac:dyDescent="0.3">
      <c r="A117" s="43">
        <v>408001</v>
      </c>
      <c r="B117" s="44" t="s">
        <v>239</v>
      </c>
      <c r="C117" s="44" t="s">
        <v>563</v>
      </c>
      <c r="D117" s="44" t="str">
        <f t="shared" si="7"/>
        <v>408001_PSA (research)</v>
      </c>
      <c r="E117" s="81">
        <v>400000</v>
      </c>
      <c r="F117" s="81" t="s">
        <v>226</v>
      </c>
      <c r="G117" s="44" t="s">
        <v>197</v>
      </c>
      <c r="H117" s="44" t="str">
        <f t="shared" si="5"/>
        <v>400000_Personnel related expenses</v>
      </c>
      <c r="I117" s="81">
        <v>408000</v>
      </c>
      <c r="J117" s="81" t="s">
        <v>238</v>
      </c>
      <c r="K117" s="44" t="s">
        <v>564</v>
      </c>
      <c r="L117" s="44" t="str">
        <f t="shared" si="6"/>
        <v>408000_PSA</v>
      </c>
      <c r="M117" s="82" t="s">
        <v>308</v>
      </c>
      <c r="N117" s="83" t="s">
        <v>565</v>
      </c>
      <c r="O117" s="84" t="s">
        <v>310</v>
      </c>
      <c r="P117" s="84" t="s">
        <v>310</v>
      </c>
      <c r="Q117" s="84" t="s">
        <v>310</v>
      </c>
      <c r="R117" s="84" t="s">
        <v>310</v>
      </c>
      <c r="S117" s="84" t="s">
        <v>310</v>
      </c>
      <c r="T117" s="84" t="s">
        <v>310</v>
      </c>
      <c r="U117" s="84" t="s">
        <v>310</v>
      </c>
      <c r="V117" s="84" t="s">
        <v>310</v>
      </c>
      <c r="W117" s="84" t="s">
        <v>310</v>
      </c>
      <c r="X117" s="84" t="s">
        <v>310</v>
      </c>
      <c r="Y117" s="84" t="s">
        <v>310</v>
      </c>
      <c r="Z117" s="84" t="s">
        <v>310</v>
      </c>
      <c r="AA117" s="84" t="s">
        <v>310</v>
      </c>
      <c r="AB117" s="84" t="s">
        <v>310</v>
      </c>
      <c r="AC117" s="84" t="s">
        <v>310</v>
      </c>
      <c r="AD117" s="84" t="s">
        <v>310</v>
      </c>
      <c r="AE117" s="84" t="s">
        <v>310</v>
      </c>
      <c r="AF117" s="84" t="s">
        <v>310</v>
      </c>
      <c r="AG117" s="84" t="s">
        <v>310</v>
      </c>
      <c r="AH117" s="84" t="s">
        <v>310</v>
      </c>
      <c r="AI117" s="84" t="s">
        <v>310</v>
      </c>
      <c r="AJ117" s="84" t="s">
        <v>310</v>
      </c>
      <c r="AK117" s="84" t="s">
        <v>310</v>
      </c>
      <c r="AL117" s="84" t="s">
        <v>310</v>
      </c>
      <c r="AM117" s="84" t="s">
        <v>310</v>
      </c>
      <c r="AN117" s="84" t="s">
        <v>310</v>
      </c>
      <c r="AO117" s="84" t="s">
        <v>310</v>
      </c>
      <c r="AP117" s="84" t="s">
        <v>310</v>
      </c>
      <c r="AQ117" s="84" t="s">
        <v>310</v>
      </c>
      <c r="AR117" s="84" t="s">
        <v>310</v>
      </c>
      <c r="AS117" s="84" t="s">
        <v>310</v>
      </c>
      <c r="AT117" s="84" t="s">
        <v>310</v>
      </c>
      <c r="AU117" s="84" t="s">
        <v>310</v>
      </c>
      <c r="AV117" s="84" t="s">
        <v>310</v>
      </c>
      <c r="AW117" s="84" t="s">
        <v>310</v>
      </c>
      <c r="AX117" s="84" t="s">
        <v>310</v>
      </c>
      <c r="AY117" s="84" t="s">
        <v>310</v>
      </c>
      <c r="AZ117" s="84" t="s">
        <v>310</v>
      </c>
      <c r="BA117" s="84" t="s">
        <v>310</v>
      </c>
      <c r="BB117" s="84" t="s">
        <v>310</v>
      </c>
      <c r="BC117" s="84" t="s">
        <v>310</v>
      </c>
      <c r="BD117" s="84" t="s">
        <v>310</v>
      </c>
      <c r="BE117" s="84" t="s">
        <v>310</v>
      </c>
      <c r="BF117" s="84" t="s">
        <v>310</v>
      </c>
      <c r="BG117" s="84" t="s">
        <v>310</v>
      </c>
      <c r="BH117" s="84" t="s">
        <v>310</v>
      </c>
      <c r="BI117" s="84" t="s">
        <v>310</v>
      </c>
      <c r="BJ117" s="84" t="s">
        <v>310</v>
      </c>
    </row>
    <row r="118" spans="1:62" s="80" customFormat="1" x14ac:dyDescent="0.3">
      <c r="A118" s="45">
        <v>408002</v>
      </c>
      <c r="B118" s="46" t="s">
        <v>566</v>
      </c>
      <c r="C118" s="46" t="s">
        <v>567</v>
      </c>
      <c r="D118" s="46" t="str">
        <f t="shared" si="7"/>
        <v>408002_PSA (excl. research)</v>
      </c>
      <c r="E118" s="76">
        <v>400000</v>
      </c>
      <c r="F118" s="76" t="s">
        <v>226</v>
      </c>
      <c r="G118" s="76" t="s">
        <v>197</v>
      </c>
      <c r="H118" s="77" t="str">
        <f t="shared" si="5"/>
        <v>400000_Personnel related expenses</v>
      </c>
      <c r="I118" s="76">
        <v>408000</v>
      </c>
      <c r="J118" s="76" t="s">
        <v>238</v>
      </c>
      <c r="K118" s="76" t="s">
        <v>564</v>
      </c>
      <c r="L118" s="77" t="str">
        <f t="shared" si="6"/>
        <v>408000_PSA</v>
      </c>
      <c r="M118" s="76" t="s">
        <v>308</v>
      </c>
      <c r="N118" s="78" t="s">
        <v>565</v>
      </c>
      <c r="O118" s="79" t="s">
        <v>310</v>
      </c>
      <c r="P118" s="79" t="s">
        <v>310</v>
      </c>
      <c r="Q118" s="79" t="s">
        <v>310</v>
      </c>
      <c r="R118" s="79" t="s">
        <v>310</v>
      </c>
      <c r="S118" s="79" t="s">
        <v>310</v>
      </c>
      <c r="T118" s="79" t="s">
        <v>310</v>
      </c>
      <c r="U118" s="79" t="s">
        <v>310</v>
      </c>
      <c r="V118" s="79" t="s">
        <v>310</v>
      </c>
      <c r="W118" s="79" t="s">
        <v>310</v>
      </c>
      <c r="X118" s="79" t="s">
        <v>310</v>
      </c>
      <c r="Y118" s="79" t="s">
        <v>310</v>
      </c>
      <c r="Z118" s="79" t="s">
        <v>310</v>
      </c>
      <c r="AA118" s="79" t="s">
        <v>310</v>
      </c>
      <c r="AB118" s="79" t="s">
        <v>310</v>
      </c>
      <c r="AC118" s="79" t="s">
        <v>310</v>
      </c>
      <c r="AD118" s="79" t="s">
        <v>310</v>
      </c>
      <c r="AE118" s="79" t="s">
        <v>310</v>
      </c>
      <c r="AF118" s="79" t="s">
        <v>310</v>
      </c>
      <c r="AG118" s="79" t="s">
        <v>310</v>
      </c>
      <c r="AH118" s="79" t="s">
        <v>310</v>
      </c>
      <c r="AI118" s="79" t="s">
        <v>310</v>
      </c>
      <c r="AJ118" s="79" t="s">
        <v>310</v>
      </c>
      <c r="AK118" s="79" t="s">
        <v>310</v>
      </c>
      <c r="AL118" s="79" t="s">
        <v>310</v>
      </c>
      <c r="AM118" s="79" t="s">
        <v>310</v>
      </c>
      <c r="AN118" s="79" t="s">
        <v>310</v>
      </c>
      <c r="AO118" s="79" t="s">
        <v>310</v>
      </c>
      <c r="AP118" s="79" t="s">
        <v>310</v>
      </c>
      <c r="AQ118" s="79" t="s">
        <v>310</v>
      </c>
      <c r="AR118" s="79" t="s">
        <v>310</v>
      </c>
      <c r="AS118" s="79" t="s">
        <v>310</v>
      </c>
      <c r="AT118" s="79" t="s">
        <v>310</v>
      </c>
      <c r="AU118" s="79" t="s">
        <v>310</v>
      </c>
      <c r="AV118" s="79" t="s">
        <v>310</v>
      </c>
      <c r="AW118" s="79" t="s">
        <v>310</v>
      </c>
      <c r="AX118" s="79" t="s">
        <v>310</v>
      </c>
      <c r="AY118" s="79" t="s">
        <v>310</v>
      </c>
      <c r="AZ118" s="79" t="s">
        <v>310</v>
      </c>
      <c r="BA118" s="79" t="s">
        <v>310</v>
      </c>
      <c r="BB118" s="79" t="s">
        <v>310</v>
      </c>
      <c r="BC118" s="79" t="s">
        <v>310</v>
      </c>
      <c r="BD118" s="79" t="s">
        <v>310</v>
      </c>
      <c r="BE118" s="79" t="s">
        <v>310</v>
      </c>
      <c r="BF118" s="79" t="s">
        <v>310</v>
      </c>
      <c r="BG118" s="79" t="s">
        <v>310</v>
      </c>
      <c r="BH118" s="79" t="s">
        <v>310</v>
      </c>
      <c r="BI118" s="79" t="s">
        <v>310</v>
      </c>
      <c r="BJ118" s="79" t="s">
        <v>310</v>
      </c>
    </row>
    <row r="119" spans="1:62" s="85" customFormat="1" x14ac:dyDescent="0.3">
      <c r="A119" s="43">
        <v>408003</v>
      </c>
      <c r="B119" s="44" t="s">
        <v>568</v>
      </c>
      <c r="C119" s="44" t="s">
        <v>569</v>
      </c>
      <c r="D119" s="44" t="str">
        <f t="shared" si="7"/>
        <v>408003_Social insurance contribution - PSA (research)</v>
      </c>
      <c r="E119" s="81">
        <v>400000</v>
      </c>
      <c r="F119" s="81" t="s">
        <v>226</v>
      </c>
      <c r="G119" s="44" t="s">
        <v>197</v>
      </c>
      <c r="H119" s="44" t="str">
        <f t="shared" si="5"/>
        <v>400000_Personnel related expenses</v>
      </c>
      <c r="I119" s="81">
        <v>408000</v>
      </c>
      <c r="J119" s="81" t="s">
        <v>238</v>
      </c>
      <c r="K119" s="44" t="s">
        <v>564</v>
      </c>
      <c r="L119" s="44" t="str">
        <f t="shared" si="6"/>
        <v>408000_PSA</v>
      </c>
      <c r="M119" s="82" t="s">
        <v>350</v>
      </c>
      <c r="N119" s="83" t="s">
        <v>570</v>
      </c>
      <c r="O119" s="84" t="s">
        <v>310</v>
      </c>
      <c r="P119" s="84" t="s">
        <v>310</v>
      </c>
      <c r="Q119" s="84" t="s">
        <v>310</v>
      </c>
      <c r="R119" s="84" t="s">
        <v>310</v>
      </c>
      <c r="S119" s="84" t="s">
        <v>310</v>
      </c>
      <c r="T119" s="84" t="s">
        <v>310</v>
      </c>
      <c r="U119" s="84" t="s">
        <v>310</v>
      </c>
      <c r="V119" s="84" t="s">
        <v>310</v>
      </c>
      <c r="W119" s="84" t="s">
        <v>310</v>
      </c>
      <c r="X119" s="84" t="s">
        <v>310</v>
      </c>
      <c r="Y119" s="84" t="s">
        <v>310</v>
      </c>
      <c r="Z119" s="84" t="s">
        <v>310</v>
      </c>
      <c r="AA119" s="84" t="s">
        <v>310</v>
      </c>
      <c r="AB119" s="84" t="s">
        <v>310</v>
      </c>
      <c r="AC119" s="84" t="s">
        <v>310</v>
      </c>
      <c r="AD119" s="84" t="s">
        <v>310</v>
      </c>
      <c r="AE119" s="84" t="s">
        <v>310</v>
      </c>
      <c r="AF119" s="84" t="s">
        <v>310</v>
      </c>
      <c r="AG119" s="84" t="s">
        <v>310</v>
      </c>
      <c r="AH119" s="84" t="s">
        <v>310</v>
      </c>
      <c r="AI119" s="84" t="s">
        <v>310</v>
      </c>
      <c r="AJ119" s="84" t="s">
        <v>310</v>
      </c>
      <c r="AK119" s="84" t="s">
        <v>310</v>
      </c>
      <c r="AL119" s="84" t="s">
        <v>310</v>
      </c>
      <c r="AM119" s="84" t="s">
        <v>310</v>
      </c>
      <c r="AN119" s="84" t="s">
        <v>310</v>
      </c>
      <c r="AO119" s="84" t="s">
        <v>310</v>
      </c>
      <c r="AP119" s="84" t="s">
        <v>310</v>
      </c>
      <c r="AQ119" s="84" t="s">
        <v>310</v>
      </c>
      <c r="AR119" s="84" t="s">
        <v>310</v>
      </c>
      <c r="AS119" s="84" t="s">
        <v>310</v>
      </c>
      <c r="AT119" s="84" t="s">
        <v>310</v>
      </c>
      <c r="AU119" s="84" t="s">
        <v>310</v>
      </c>
      <c r="AV119" s="84" t="s">
        <v>310</v>
      </c>
      <c r="AW119" s="84" t="s">
        <v>310</v>
      </c>
      <c r="AX119" s="84" t="s">
        <v>310</v>
      </c>
      <c r="AY119" s="84" t="s">
        <v>310</v>
      </c>
      <c r="AZ119" s="84" t="s">
        <v>310</v>
      </c>
      <c r="BA119" s="84" t="s">
        <v>310</v>
      </c>
      <c r="BB119" s="84" t="s">
        <v>310</v>
      </c>
      <c r="BC119" s="84" t="s">
        <v>310</v>
      </c>
      <c r="BD119" s="84" t="s">
        <v>310</v>
      </c>
      <c r="BE119" s="84" t="s">
        <v>310</v>
      </c>
      <c r="BF119" s="84" t="s">
        <v>310</v>
      </c>
      <c r="BG119" s="84" t="s">
        <v>310</v>
      </c>
      <c r="BH119" s="84" t="s">
        <v>310</v>
      </c>
      <c r="BI119" s="84" t="s">
        <v>310</v>
      </c>
      <c r="BJ119" s="84" t="s">
        <v>310</v>
      </c>
    </row>
    <row r="120" spans="1:62" s="80" customFormat="1" x14ac:dyDescent="0.3">
      <c r="A120" s="45">
        <v>408004</v>
      </c>
      <c r="B120" s="46" t="s">
        <v>571</v>
      </c>
      <c r="C120" s="46" t="s">
        <v>572</v>
      </c>
      <c r="D120" s="46" t="str">
        <f t="shared" si="7"/>
        <v>408004_Social insurance contribution - PSA (exc. research)</v>
      </c>
      <c r="E120" s="76">
        <v>400000</v>
      </c>
      <c r="F120" s="76" t="s">
        <v>226</v>
      </c>
      <c r="G120" s="76" t="s">
        <v>197</v>
      </c>
      <c r="H120" s="77" t="str">
        <f t="shared" si="5"/>
        <v>400000_Personnel related expenses</v>
      </c>
      <c r="I120" s="76">
        <v>408000</v>
      </c>
      <c r="J120" s="76" t="s">
        <v>238</v>
      </c>
      <c r="K120" s="76" t="s">
        <v>564</v>
      </c>
      <c r="L120" s="77" t="str">
        <f t="shared" si="6"/>
        <v>408000_PSA</v>
      </c>
      <c r="M120" s="76" t="s">
        <v>350</v>
      </c>
      <c r="N120" s="78" t="s">
        <v>570</v>
      </c>
      <c r="O120" s="79" t="s">
        <v>310</v>
      </c>
      <c r="P120" s="79" t="s">
        <v>310</v>
      </c>
      <c r="Q120" s="79" t="s">
        <v>310</v>
      </c>
      <c r="R120" s="79" t="s">
        <v>310</v>
      </c>
      <c r="S120" s="79" t="s">
        <v>310</v>
      </c>
      <c r="T120" s="79" t="s">
        <v>310</v>
      </c>
      <c r="U120" s="79" t="s">
        <v>310</v>
      </c>
      <c r="V120" s="79" t="s">
        <v>310</v>
      </c>
      <c r="W120" s="79" t="s">
        <v>310</v>
      </c>
      <c r="X120" s="79" t="s">
        <v>310</v>
      </c>
      <c r="Y120" s="79" t="s">
        <v>310</v>
      </c>
      <c r="Z120" s="79" t="s">
        <v>310</v>
      </c>
      <c r="AA120" s="79" t="s">
        <v>310</v>
      </c>
      <c r="AB120" s="79" t="s">
        <v>310</v>
      </c>
      <c r="AC120" s="79" t="s">
        <v>310</v>
      </c>
      <c r="AD120" s="79" t="s">
        <v>310</v>
      </c>
      <c r="AE120" s="79" t="s">
        <v>310</v>
      </c>
      <c r="AF120" s="79" t="s">
        <v>310</v>
      </c>
      <c r="AG120" s="79" t="s">
        <v>310</v>
      </c>
      <c r="AH120" s="79" t="s">
        <v>310</v>
      </c>
      <c r="AI120" s="79" t="s">
        <v>310</v>
      </c>
      <c r="AJ120" s="79" t="s">
        <v>310</v>
      </c>
      <c r="AK120" s="79" t="s">
        <v>310</v>
      </c>
      <c r="AL120" s="79" t="s">
        <v>310</v>
      </c>
      <c r="AM120" s="79" t="s">
        <v>310</v>
      </c>
      <c r="AN120" s="79" t="s">
        <v>310</v>
      </c>
      <c r="AO120" s="79" t="s">
        <v>310</v>
      </c>
      <c r="AP120" s="79" t="s">
        <v>310</v>
      </c>
      <c r="AQ120" s="79" t="s">
        <v>310</v>
      </c>
      <c r="AR120" s="79" t="s">
        <v>310</v>
      </c>
      <c r="AS120" s="79" t="s">
        <v>310</v>
      </c>
      <c r="AT120" s="79" t="s">
        <v>310</v>
      </c>
      <c r="AU120" s="79" t="s">
        <v>310</v>
      </c>
      <c r="AV120" s="79" t="s">
        <v>310</v>
      </c>
      <c r="AW120" s="79" t="s">
        <v>310</v>
      </c>
      <c r="AX120" s="79" t="s">
        <v>310</v>
      </c>
      <c r="AY120" s="79" t="s">
        <v>310</v>
      </c>
      <c r="AZ120" s="79" t="s">
        <v>310</v>
      </c>
      <c r="BA120" s="79" t="s">
        <v>310</v>
      </c>
      <c r="BB120" s="79" t="s">
        <v>310</v>
      </c>
      <c r="BC120" s="79" t="s">
        <v>310</v>
      </c>
      <c r="BD120" s="79" t="s">
        <v>310</v>
      </c>
      <c r="BE120" s="79" t="s">
        <v>310</v>
      </c>
      <c r="BF120" s="79" t="s">
        <v>310</v>
      </c>
      <c r="BG120" s="79" t="s">
        <v>310</v>
      </c>
      <c r="BH120" s="79" t="s">
        <v>310</v>
      </c>
      <c r="BI120" s="79" t="s">
        <v>310</v>
      </c>
      <c r="BJ120" s="79" t="s">
        <v>310</v>
      </c>
    </row>
    <row r="121" spans="1:62" s="94" customFormat="1" x14ac:dyDescent="0.3">
      <c r="A121" s="92">
        <v>408005</v>
      </c>
      <c r="B121" s="93" t="s">
        <v>573</v>
      </c>
      <c r="C121" s="93" t="s">
        <v>574</v>
      </c>
      <c r="D121" s="93" t="str">
        <f t="shared" si="7"/>
        <v>408005_Contracts with employees</v>
      </c>
      <c r="E121" s="94">
        <v>400000</v>
      </c>
      <c r="F121" s="94" t="s">
        <v>226</v>
      </c>
      <c r="G121" s="93" t="s">
        <v>197</v>
      </c>
      <c r="H121" s="93" t="str">
        <f t="shared" si="5"/>
        <v>400000_Personnel related expenses</v>
      </c>
      <c r="I121" s="94">
        <v>408000</v>
      </c>
      <c r="J121" s="94" t="s">
        <v>238</v>
      </c>
      <c r="K121" s="93" t="s">
        <v>564</v>
      </c>
      <c r="L121" s="93" t="str">
        <f t="shared" si="6"/>
        <v>408000_PSA</v>
      </c>
      <c r="M121" s="95" t="s">
        <v>308</v>
      </c>
      <c r="N121" s="96" t="s">
        <v>565</v>
      </c>
      <c r="O121" s="97" t="s">
        <v>310</v>
      </c>
      <c r="P121" s="97" t="s">
        <v>310</v>
      </c>
      <c r="Q121" s="97" t="s">
        <v>310</v>
      </c>
      <c r="R121" s="97" t="s">
        <v>310</v>
      </c>
      <c r="S121" s="97" t="s">
        <v>310</v>
      </c>
      <c r="T121" s="97" t="s">
        <v>310</v>
      </c>
      <c r="U121" s="97" t="s">
        <v>310</v>
      </c>
      <c r="V121" s="97" t="s">
        <v>310</v>
      </c>
      <c r="W121" s="97" t="s">
        <v>310</v>
      </c>
      <c r="X121" s="97" t="s">
        <v>310</v>
      </c>
      <c r="Y121" s="97" t="s">
        <v>310</v>
      </c>
      <c r="Z121" s="97" t="s">
        <v>310</v>
      </c>
      <c r="AA121" s="97" t="s">
        <v>310</v>
      </c>
      <c r="AB121" s="97" t="s">
        <v>310</v>
      </c>
      <c r="AC121" s="97" t="s">
        <v>310</v>
      </c>
      <c r="AD121" s="97" t="s">
        <v>310</v>
      </c>
      <c r="AE121" s="97" t="s">
        <v>310</v>
      </c>
      <c r="AF121" s="97" t="s">
        <v>310</v>
      </c>
      <c r="AG121" s="97" t="s">
        <v>310</v>
      </c>
      <c r="AH121" s="97" t="s">
        <v>310</v>
      </c>
      <c r="AI121" s="97" t="s">
        <v>310</v>
      </c>
      <c r="AJ121" s="97" t="s">
        <v>310</v>
      </c>
      <c r="AK121" s="97" t="s">
        <v>310</v>
      </c>
      <c r="AL121" s="97" t="s">
        <v>310</v>
      </c>
      <c r="AM121" s="97" t="s">
        <v>310</v>
      </c>
      <c r="AN121" s="97" t="s">
        <v>310</v>
      </c>
      <c r="AO121" s="97" t="s">
        <v>310</v>
      </c>
      <c r="AP121" s="97" t="s">
        <v>310</v>
      </c>
      <c r="AQ121" s="97" t="s">
        <v>310</v>
      </c>
      <c r="AR121" s="97" t="s">
        <v>310</v>
      </c>
      <c r="AS121" s="97" t="s">
        <v>310</v>
      </c>
      <c r="AT121" s="97" t="s">
        <v>310</v>
      </c>
      <c r="AU121" s="97" t="s">
        <v>310</v>
      </c>
      <c r="AV121" s="97" t="s">
        <v>310</v>
      </c>
      <c r="AW121" s="97" t="s">
        <v>310</v>
      </c>
      <c r="AX121" s="97" t="s">
        <v>310</v>
      </c>
      <c r="AY121" s="97" t="s">
        <v>310</v>
      </c>
      <c r="AZ121" s="97" t="s">
        <v>310</v>
      </c>
      <c r="BA121" s="97" t="s">
        <v>310</v>
      </c>
      <c r="BB121" s="97" t="s">
        <v>310</v>
      </c>
      <c r="BC121" s="97" t="s">
        <v>310</v>
      </c>
      <c r="BD121" s="97" t="s">
        <v>310</v>
      </c>
      <c r="BE121" s="97" t="s">
        <v>310</v>
      </c>
      <c r="BF121" s="97" t="s">
        <v>310</v>
      </c>
      <c r="BG121" s="97" t="s">
        <v>310</v>
      </c>
      <c r="BH121" s="97" t="s">
        <v>310</v>
      </c>
      <c r="BI121" s="97" t="s">
        <v>310</v>
      </c>
      <c r="BJ121" s="97" t="s">
        <v>310</v>
      </c>
    </row>
    <row r="122" spans="1:62" s="94" customFormat="1" x14ac:dyDescent="0.3">
      <c r="A122" s="92">
        <v>408006</v>
      </c>
      <c r="B122" s="93" t="s">
        <v>575</v>
      </c>
      <c r="C122" s="93" t="s">
        <v>576</v>
      </c>
      <c r="D122" s="93" t="str">
        <f t="shared" si="7"/>
        <v>408006_Social insurance contribution - contracts with employees</v>
      </c>
      <c r="E122" s="94">
        <v>400000</v>
      </c>
      <c r="F122" s="94" t="s">
        <v>226</v>
      </c>
      <c r="G122" s="93" t="s">
        <v>197</v>
      </c>
      <c r="H122" s="93" t="str">
        <f t="shared" si="5"/>
        <v>400000_Personnel related expenses</v>
      </c>
      <c r="I122" s="94">
        <v>408000</v>
      </c>
      <c r="J122" s="94" t="s">
        <v>238</v>
      </c>
      <c r="K122" s="93" t="s">
        <v>564</v>
      </c>
      <c r="L122" s="93" t="str">
        <f t="shared" si="6"/>
        <v>408000_PSA</v>
      </c>
      <c r="M122" s="95" t="s">
        <v>350</v>
      </c>
      <c r="N122" s="96" t="s">
        <v>570</v>
      </c>
      <c r="O122" s="97" t="s">
        <v>310</v>
      </c>
      <c r="P122" s="97" t="s">
        <v>310</v>
      </c>
      <c r="Q122" s="97" t="s">
        <v>310</v>
      </c>
      <c r="R122" s="97" t="s">
        <v>310</v>
      </c>
      <c r="S122" s="97" t="s">
        <v>310</v>
      </c>
      <c r="T122" s="97" t="s">
        <v>310</v>
      </c>
      <c r="U122" s="97" t="s">
        <v>310</v>
      </c>
      <c r="V122" s="97" t="s">
        <v>310</v>
      </c>
      <c r="W122" s="97" t="s">
        <v>310</v>
      </c>
      <c r="X122" s="97" t="s">
        <v>310</v>
      </c>
      <c r="Y122" s="97" t="s">
        <v>310</v>
      </c>
      <c r="Z122" s="97" t="s">
        <v>310</v>
      </c>
      <c r="AA122" s="97" t="s">
        <v>310</v>
      </c>
      <c r="AB122" s="97" t="s">
        <v>310</v>
      </c>
      <c r="AC122" s="97" t="s">
        <v>310</v>
      </c>
      <c r="AD122" s="97" t="s">
        <v>310</v>
      </c>
      <c r="AE122" s="97" t="s">
        <v>310</v>
      </c>
      <c r="AF122" s="97" t="s">
        <v>310</v>
      </c>
      <c r="AG122" s="97" t="s">
        <v>310</v>
      </c>
      <c r="AH122" s="97" t="s">
        <v>310</v>
      </c>
      <c r="AI122" s="97" t="s">
        <v>310</v>
      </c>
      <c r="AJ122" s="97" t="s">
        <v>310</v>
      </c>
      <c r="AK122" s="97" t="s">
        <v>310</v>
      </c>
      <c r="AL122" s="97" t="s">
        <v>310</v>
      </c>
      <c r="AM122" s="97" t="s">
        <v>310</v>
      </c>
      <c r="AN122" s="97" t="s">
        <v>310</v>
      </c>
      <c r="AO122" s="97" t="s">
        <v>310</v>
      </c>
      <c r="AP122" s="97" t="s">
        <v>310</v>
      </c>
      <c r="AQ122" s="97" t="s">
        <v>310</v>
      </c>
      <c r="AR122" s="97" t="s">
        <v>310</v>
      </c>
      <c r="AS122" s="97" t="s">
        <v>310</v>
      </c>
      <c r="AT122" s="97" t="s">
        <v>310</v>
      </c>
      <c r="AU122" s="97" t="s">
        <v>310</v>
      </c>
      <c r="AV122" s="97" t="s">
        <v>310</v>
      </c>
      <c r="AW122" s="97" t="s">
        <v>310</v>
      </c>
      <c r="AX122" s="97" t="s">
        <v>310</v>
      </c>
      <c r="AY122" s="97" t="s">
        <v>310</v>
      </c>
      <c r="AZ122" s="97" t="s">
        <v>310</v>
      </c>
      <c r="BA122" s="97" t="s">
        <v>310</v>
      </c>
      <c r="BB122" s="97" t="s">
        <v>310</v>
      </c>
      <c r="BC122" s="97" t="s">
        <v>310</v>
      </c>
      <c r="BD122" s="97" t="s">
        <v>310</v>
      </c>
      <c r="BE122" s="97" t="s">
        <v>310</v>
      </c>
      <c r="BF122" s="97" t="s">
        <v>310</v>
      </c>
      <c r="BG122" s="97" t="s">
        <v>310</v>
      </c>
      <c r="BH122" s="97" t="s">
        <v>310</v>
      </c>
      <c r="BI122" s="97" t="s">
        <v>310</v>
      </c>
      <c r="BJ122" s="97" t="s">
        <v>310</v>
      </c>
    </row>
    <row r="123" spans="1:62" s="85" customFormat="1" x14ac:dyDescent="0.3">
      <c r="A123" s="43">
        <v>499001</v>
      </c>
      <c r="B123" s="44" t="s">
        <v>577</v>
      </c>
      <c r="C123" s="44" t="s">
        <v>578</v>
      </c>
      <c r="D123" s="44" t="str">
        <f t="shared" si="7"/>
        <v>499001_Other personnel related expenses</v>
      </c>
      <c r="E123" s="81">
        <v>400000</v>
      </c>
      <c r="F123" s="81" t="s">
        <v>226</v>
      </c>
      <c r="G123" s="44" t="s">
        <v>197</v>
      </c>
      <c r="H123" s="44" t="str">
        <f t="shared" si="5"/>
        <v>400000_Personnel related expenses</v>
      </c>
      <c r="I123" s="81">
        <v>499000</v>
      </c>
      <c r="J123" s="81" t="s">
        <v>577</v>
      </c>
      <c r="K123" s="44" t="s">
        <v>578</v>
      </c>
      <c r="L123" s="44" t="str">
        <f t="shared" si="6"/>
        <v>499000_Other personnel related expenses</v>
      </c>
      <c r="M123" s="82" t="s">
        <v>308</v>
      </c>
      <c r="N123" s="83" t="s">
        <v>203</v>
      </c>
      <c r="O123" s="84" t="s">
        <v>310</v>
      </c>
      <c r="P123" s="84" t="s">
        <v>310</v>
      </c>
      <c r="Q123" s="84" t="s">
        <v>310</v>
      </c>
      <c r="R123" s="84" t="s">
        <v>310</v>
      </c>
      <c r="S123" s="84" t="s">
        <v>310</v>
      </c>
      <c r="T123" s="84" t="s">
        <v>310</v>
      </c>
      <c r="U123" s="84" t="s">
        <v>310</v>
      </c>
      <c r="V123" s="84" t="s">
        <v>310</v>
      </c>
      <c r="W123" s="84" t="s">
        <v>310</v>
      </c>
      <c r="X123" s="84" t="s">
        <v>310</v>
      </c>
      <c r="Y123" s="84" t="s">
        <v>310</v>
      </c>
      <c r="Z123" s="84" t="s">
        <v>310</v>
      </c>
      <c r="AA123" s="84" t="s">
        <v>310</v>
      </c>
      <c r="AB123" s="84" t="s">
        <v>310</v>
      </c>
      <c r="AC123" s="84" t="s">
        <v>310</v>
      </c>
      <c r="AD123" s="84" t="s">
        <v>310</v>
      </c>
      <c r="AE123" s="84" t="s">
        <v>310</v>
      </c>
      <c r="AF123" s="84" t="s">
        <v>310</v>
      </c>
      <c r="AG123" s="84" t="s">
        <v>310</v>
      </c>
      <c r="AH123" s="84" t="s">
        <v>310</v>
      </c>
      <c r="AI123" s="84" t="s">
        <v>310</v>
      </c>
      <c r="AJ123" s="84" t="s">
        <v>310</v>
      </c>
      <c r="AK123" s="84" t="s">
        <v>310</v>
      </c>
      <c r="AL123" s="84" t="s">
        <v>310</v>
      </c>
      <c r="AM123" s="84" t="s">
        <v>310</v>
      </c>
      <c r="AN123" s="84" t="s">
        <v>310</v>
      </c>
      <c r="AO123" s="84" t="s">
        <v>310</v>
      </c>
      <c r="AP123" s="84" t="s">
        <v>310</v>
      </c>
      <c r="AQ123" s="84" t="s">
        <v>310</v>
      </c>
      <c r="AR123" s="84" t="s">
        <v>310</v>
      </c>
      <c r="AS123" s="84" t="s">
        <v>310</v>
      </c>
      <c r="AT123" s="84" t="s">
        <v>310</v>
      </c>
      <c r="AU123" s="84" t="s">
        <v>310</v>
      </c>
      <c r="AV123" s="84" t="s">
        <v>310</v>
      </c>
      <c r="AW123" s="84" t="s">
        <v>310</v>
      </c>
      <c r="AX123" s="84" t="s">
        <v>310</v>
      </c>
      <c r="AY123" s="84" t="s">
        <v>310</v>
      </c>
      <c r="AZ123" s="84" t="s">
        <v>310</v>
      </c>
      <c r="BA123" s="84" t="s">
        <v>310</v>
      </c>
      <c r="BB123" s="84" t="s">
        <v>310</v>
      </c>
      <c r="BC123" s="84" t="s">
        <v>310</v>
      </c>
      <c r="BD123" s="84" t="s">
        <v>310</v>
      </c>
      <c r="BE123" s="84" t="s">
        <v>310</v>
      </c>
      <c r="BF123" s="84" t="s">
        <v>310</v>
      </c>
      <c r="BG123" s="84" t="s">
        <v>310</v>
      </c>
      <c r="BH123" s="84" t="s">
        <v>310</v>
      </c>
      <c r="BI123" s="84" t="s">
        <v>310</v>
      </c>
      <c r="BJ123" s="84" t="s">
        <v>310</v>
      </c>
    </row>
    <row r="124" spans="1:62" s="80" customFormat="1" x14ac:dyDescent="0.3">
      <c r="A124" s="45">
        <v>501001</v>
      </c>
      <c r="B124" s="46" t="s">
        <v>579</v>
      </c>
      <c r="C124" s="46" t="s">
        <v>580</v>
      </c>
      <c r="D124" s="46" t="str">
        <f t="shared" si="7"/>
        <v>501001_Scholarship - basic for Master's</v>
      </c>
      <c r="E124" s="76">
        <v>500000</v>
      </c>
      <c r="F124" s="76" t="s">
        <v>581</v>
      </c>
      <c r="G124" s="76" t="s">
        <v>199</v>
      </c>
      <c r="H124" s="77" t="str">
        <f t="shared" si="5"/>
        <v>500000_Student cost</v>
      </c>
      <c r="I124" s="76">
        <v>501000</v>
      </c>
      <c r="J124" s="76" t="s">
        <v>582</v>
      </c>
      <c r="K124" s="76" t="s">
        <v>583</v>
      </c>
      <c r="L124" s="77" t="str">
        <f t="shared" si="6"/>
        <v>501000_Scholarship/stipend</v>
      </c>
      <c r="M124" s="76" t="s">
        <v>308</v>
      </c>
      <c r="N124" s="78" t="s">
        <v>203</v>
      </c>
      <c r="O124" s="79" t="s">
        <v>203</v>
      </c>
      <c r="P124" s="79" t="s">
        <v>203</v>
      </c>
      <c r="Q124" s="79" t="s">
        <v>203</v>
      </c>
      <c r="R124" s="79" t="s">
        <v>203</v>
      </c>
      <c r="S124" s="79" t="s">
        <v>203</v>
      </c>
      <c r="T124" s="79" t="s">
        <v>203</v>
      </c>
      <c r="U124" s="79" t="s">
        <v>203</v>
      </c>
      <c r="V124" s="79" t="s">
        <v>203</v>
      </c>
      <c r="W124" s="79" t="s">
        <v>203</v>
      </c>
      <c r="X124" s="79" t="s">
        <v>203</v>
      </c>
      <c r="Y124" s="79" t="s">
        <v>203</v>
      </c>
      <c r="Z124" s="79" t="s">
        <v>203</v>
      </c>
      <c r="AA124" s="79" t="s">
        <v>203</v>
      </c>
      <c r="AB124" s="79" t="s">
        <v>203</v>
      </c>
      <c r="AC124" s="79" t="s">
        <v>203</v>
      </c>
      <c r="AD124" s="79" t="s">
        <v>203</v>
      </c>
      <c r="AE124" s="79" t="s">
        <v>203</v>
      </c>
      <c r="AF124" s="79" t="s">
        <v>203</v>
      </c>
      <c r="AG124" s="79" t="s">
        <v>203</v>
      </c>
      <c r="AH124" s="79" t="s">
        <v>203</v>
      </c>
      <c r="AI124" s="79" t="s">
        <v>203</v>
      </c>
      <c r="AJ124" s="79" t="s">
        <v>203</v>
      </c>
      <c r="AK124" s="79" t="s">
        <v>203</v>
      </c>
      <c r="AL124" s="79" t="s">
        <v>203</v>
      </c>
      <c r="AM124" s="79" t="s">
        <v>203</v>
      </c>
      <c r="AN124" s="79" t="s">
        <v>203</v>
      </c>
      <c r="AO124" s="79" t="s">
        <v>310</v>
      </c>
      <c r="AP124" s="79" t="s">
        <v>310</v>
      </c>
      <c r="AQ124" s="79" t="s">
        <v>310</v>
      </c>
      <c r="AR124" s="79" t="s">
        <v>310</v>
      </c>
      <c r="AS124" s="79" t="s">
        <v>203</v>
      </c>
      <c r="AT124" s="79" t="s">
        <v>310</v>
      </c>
      <c r="AU124" s="79" t="s">
        <v>310</v>
      </c>
      <c r="AV124" s="79" t="s">
        <v>310</v>
      </c>
      <c r="AW124" s="79" t="s">
        <v>310</v>
      </c>
      <c r="AX124" s="79" t="s">
        <v>310</v>
      </c>
      <c r="AY124" s="79" t="s">
        <v>310</v>
      </c>
      <c r="AZ124" s="79" t="s">
        <v>310</v>
      </c>
      <c r="BA124" s="79" t="s">
        <v>310</v>
      </c>
      <c r="BB124" s="79" t="s">
        <v>310</v>
      </c>
      <c r="BC124" s="79" t="s">
        <v>310</v>
      </c>
      <c r="BD124" s="79" t="s">
        <v>310</v>
      </c>
      <c r="BE124" s="79" t="s">
        <v>310</v>
      </c>
      <c r="BF124" s="79" t="s">
        <v>310</v>
      </c>
      <c r="BG124" s="79" t="s">
        <v>310</v>
      </c>
      <c r="BH124" s="79" t="s">
        <v>310</v>
      </c>
      <c r="BI124" s="79" t="s">
        <v>310</v>
      </c>
      <c r="BJ124" s="79" t="s">
        <v>310</v>
      </c>
    </row>
    <row r="125" spans="1:62" s="85" customFormat="1" x14ac:dyDescent="0.3">
      <c r="A125" s="43">
        <v>501002</v>
      </c>
      <c r="B125" s="44" t="s">
        <v>584</v>
      </c>
      <c r="C125" s="44" t="s">
        <v>585</v>
      </c>
      <c r="D125" s="44" t="str">
        <f t="shared" si="7"/>
        <v>501002_Scholarship - extra for Master's</v>
      </c>
      <c r="E125" s="81">
        <v>500000</v>
      </c>
      <c r="F125" s="81" t="s">
        <v>581</v>
      </c>
      <c r="G125" s="44" t="s">
        <v>199</v>
      </c>
      <c r="H125" s="44" t="str">
        <f t="shared" si="5"/>
        <v>500000_Student cost</v>
      </c>
      <c r="I125" s="81">
        <v>501000</v>
      </c>
      <c r="J125" s="81" t="s">
        <v>582</v>
      </c>
      <c r="K125" s="44" t="s">
        <v>583</v>
      </c>
      <c r="L125" s="44" t="str">
        <f t="shared" si="6"/>
        <v>501000_Scholarship/stipend</v>
      </c>
      <c r="M125" s="82" t="s">
        <v>308</v>
      </c>
      <c r="N125" s="83" t="s">
        <v>203</v>
      </c>
      <c r="O125" s="84" t="s">
        <v>203</v>
      </c>
      <c r="P125" s="84" t="s">
        <v>203</v>
      </c>
      <c r="Q125" s="84" t="s">
        <v>203</v>
      </c>
      <c r="R125" s="84" t="s">
        <v>203</v>
      </c>
      <c r="S125" s="84" t="s">
        <v>203</v>
      </c>
      <c r="T125" s="84" t="s">
        <v>203</v>
      </c>
      <c r="U125" s="84" t="s">
        <v>203</v>
      </c>
      <c r="V125" s="84" t="s">
        <v>203</v>
      </c>
      <c r="W125" s="84" t="s">
        <v>203</v>
      </c>
      <c r="X125" s="84" t="s">
        <v>203</v>
      </c>
      <c r="Y125" s="84" t="s">
        <v>203</v>
      </c>
      <c r="Z125" s="84" t="s">
        <v>203</v>
      </c>
      <c r="AA125" s="84" t="s">
        <v>203</v>
      </c>
      <c r="AB125" s="84" t="s">
        <v>203</v>
      </c>
      <c r="AC125" s="84" t="s">
        <v>203</v>
      </c>
      <c r="AD125" s="84" t="s">
        <v>203</v>
      </c>
      <c r="AE125" s="84" t="s">
        <v>203</v>
      </c>
      <c r="AF125" s="84" t="s">
        <v>203</v>
      </c>
      <c r="AG125" s="84" t="s">
        <v>203</v>
      </c>
      <c r="AH125" s="84" t="s">
        <v>203</v>
      </c>
      <c r="AI125" s="84" t="s">
        <v>203</v>
      </c>
      <c r="AJ125" s="84" t="s">
        <v>203</v>
      </c>
      <c r="AK125" s="84" t="s">
        <v>203</v>
      </c>
      <c r="AL125" s="84" t="s">
        <v>203</v>
      </c>
      <c r="AM125" s="84" t="s">
        <v>203</v>
      </c>
      <c r="AN125" s="84" t="s">
        <v>203</v>
      </c>
      <c r="AO125" s="84" t="s">
        <v>310</v>
      </c>
      <c r="AP125" s="84" t="s">
        <v>310</v>
      </c>
      <c r="AQ125" s="84" t="s">
        <v>310</v>
      </c>
      <c r="AR125" s="84" t="s">
        <v>310</v>
      </c>
      <c r="AS125" s="84" t="s">
        <v>203</v>
      </c>
      <c r="AT125" s="84" t="s">
        <v>310</v>
      </c>
      <c r="AU125" s="84" t="s">
        <v>310</v>
      </c>
      <c r="AV125" s="84" t="s">
        <v>310</v>
      </c>
      <c r="AW125" s="84" t="s">
        <v>310</v>
      </c>
      <c r="AX125" s="84" t="s">
        <v>310</v>
      </c>
      <c r="AY125" s="84" t="s">
        <v>310</v>
      </c>
      <c r="AZ125" s="84" t="s">
        <v>310</v>
      </c>
      <c r="BA125" s="84" t="s">
        <v>310</v>
      </c>
      <c r="BB125" s="84" t="s">
        <v>310</v>
      </c>
      <c r="BC125" s="84" t="s">
        <v>310</v>
      </c>
      <c r="BD125" s="84" t="s">
        <v>310</v>
      </c>
      <c r="BE125" s="84" t="s">
        <v>310</v>
      </c>
      <c r="BF125" s="84" t="s">
        <v>310</v>
      </c>
      <c r="BG125" s="84" t="s">
        <v>310</v>
      </c>
      <c r="BH125" s="84" t="s">
        <v>310</v>
      </c>
      <c r="BI125" s="84" t="s">
        <v>310</v>
      </c>
      <c r="BJ125" s="84" t="s">
        <v>310</v>
      </c>
    </row>
    <row r="126" spans="1:62" s="80" customFormat="1" x14ac:dyDescent="0.3">
      <c r="A126" s="45">
        <v>501003</v>
      </c>
      <c r="B126" s="46" t="s">
        <v>586</v>
      </c>
      <c r="C126" s="46" t="s">
        <v>587</v>
      </c>
      <c r="D126" s="46" t="str">
        <f t="shared" si="7"/>
        <v>501003_Scholarship - for PhD</v>
      </c>
      <c r="E126" s="76">
        <v>500000</v>
      </c>
      <c r="F126" s="76" t="s">
        <v>581</v>
      </c>
      <c r="G126" s="76" t="s">
        <v>199</v>
      </c>
      <c r="H126" s="77" t="str">
        <f t="shared" si="5"/>
        <v>500000_Student cost</v>
      </c>
      <c r="I126" s="76">
        <v>501000</v>
      </c>
      <c r="J126" s="76" t="s">
        <v>582</v>
      </c>
      <c r="K126" s="76" t="s">
        <v>583</v>
      </c>
      <c r="L126" s="77" t="str">
        <f t="shared" si="6"/>
        <v>501000_Scholarship/stipend</v>
      </c>
      <c r="M126" s="76" t="s">
        <v>308</v>
      </c>
      <c r="N126" s="78" t="s">
        <v>203</v>
      </c>
      <c r="O126" s="79" t="s">
        <v>203</v>
      </c>
      <c r="P126" s="79" t="s">
        <v>203</v>
      </c>
      <c r="Q126" s="79" t="s">
        <v>203</v>
      </c>
      <c r="R126" s="79" t="s">
        <v>203</v>
      </c>
      <c r="S126" s="79" t="s">
        <v>203</v>
      </c>
      <c r="T126" s="79" t="s">
        <v>203</v>
      </c>
      <c r="U126" s="79" t="s">
        <v>203</v>
      </c>
      <c r="V126" s="79" t="s">
        <v>203</v>
      </c>
      <c r="W126" s="79" t="s">
        <v>203</v>
      </c>
      <c r="X126" s="79" t="s">
        <v>203</v>
      </c>
      <c r="Y126" s="79" t="s">
        <v>203</v>
      </c>
      <c r="Z126" s="79" t="s">
        <v>203</v>
      </c>
      <c r="AA126" s="79" t="s">
        <v>203</v>
      </c>
      <c r="AB126" s="79" t="s">
        <v>203</v>
      </c>
      <c r="AC126" s="79" t="s">
        <v>203</v>
      </c>
      <c r="AD126" s="79" t="s">
        <v>203</v>
      </c>
      <c r="AE126" s="79" t="s">
        <v>203</v>
      </c>
      <c r="AF126" s="79" t="s">
        <v>203</v>
      </c>
      <c r="AG126" s="79" t="s">
        <v>203</v>
      </c>
      <c r="AH126" s="79" t="s">
        <v>203</v>
      </c>
      <c r="AI126" s="79" t="s">
        <v>203</v>
      </c>
      <c r="AJ126" s="79" t="s">
        <v>203</v>
      </c>
      <c r="AK126" s="79" t="s">
        <v>203</v>
      </c>
      <c r="AL126" s="79" t="s">
        <v>203</v>
      </c>
      <c r="AM126" s="79" t="s">
        <v>203</v>
      </c>
      <c r="AN126" s="79" t="s">
        <v>203</v>
      </c>
      <c r="AO126" s="79" t="s">
        <v>310</v>
      </c>
      <c r="AP126" s="79" t="s">
        <v>310</v>
      </c>
      <c r="AQ126" s="79" t="s">
        <v>310</v>
      </c>
      <c r="AR126" s="79" t="s">
        <v>310</v>
      </c>
      <c r="AS126" s="79" t="s">
        <v>203</v>
      </c>
      <c r="AT126" s="79" t="s">
        <v>310</v>
      </c>
      <c r="AU126" s="79" t="s">
        <v>310</v>
      </c>
      <c r="AV126" s="79" t="s">
        <v>310</v>
      </c>
      <c r="AW126" s="79" t="s">
        <v>310</v>
      </c>
      <c r="AX126" s="79" t="s">
        <v>310</v>
      </c>
      <c r="AY126" s="79" t="s">
        <v>310</v>
      </c>
      <c r="AZ126" s="79" t="s">
        <v>310</v>
      </c>
      <c r="BA126" s="79" t="s">
        <v>310</v>
      </c>
      <c r="BB126" s="79" t="s">
        <v>310</v>
      </c>
      <c r="BC126" s="79" t="s">
        <v>310</v>
      </c>
      <c r="BD126" s="79" t="s">
        <v>310</v>
      </c>
      <c r="BE126" s="79" t="s">
        <v>310</v>
      </c>
      <c r="BF126" s="79" t="s">
        <v>310</v>
      </c>
      <c r="BG126" s="79" t="s">
        <v>310</v>
      </c>
      <c r="BH126" s="79" t="s">
        <v>310</v>
      </c>
      <c r="BI126" s="79" t="s">
        <v>310</v>
      </c>
      <c r="BJ126" s="79" t="s">
        <v>310</v>
      </c>
    </row>
    <row r="127" spans="1:62" s="85" customFormat="1" x14ac:dyDescent="0.3">
      <c r="A127" s="43">
        <v>501004</v>
      </c>
      <c r="B127" s="44" t="s">
        <v>588</v>
      </c>
      <c r="C127" s="44" t="s">
        <v>589</v>
      </c>
      <c r="D127" s="44" t="str">
        <f t="shared" si="7"/>
        <v>501004_Scholarship - academic mobility</v>
      </c>
      <c r="E127" s="81">
        <v>500000</v>
      </c>
      <c r="F127" s="81" t="s">
        <v>581</v>
      </c>
      <c r="G127" s="44" t="s">
        <v>199</v>
      </c>
      <c r="H127" s="44" t="str">
        <f t="shared" si="5"/>
        <v>500000_Student cost</v>
      </c>
      <c r="I127" s="81">
        <v>501000</v>
      </c>
      <c r="J127" s="81" t="s">
        <v>582</v>
      </c>
      <c r="K127" s="44" t="s">
        <v>583</v>
      </c>
      <c r="L127" s="44" t="str">
        <f t="shared" si="6"/>
        <v>501000_Scholarship/stipend</v>
      </c>
      <c r="M127" s="82" t="s">
        <v>308</v>
      </c>
      <c r="N127" s="83" t="s">
        <v>203</v>
      </c>
      <c r="O127" s="84" t="s">
        <v>203</v>
      </c>
      <c r="P127" s="84" t="s">
        <v>203</v>
      </c>
      <c r="Q127" s="84" t="s">
        <v>203</v>
      </c>
      <c r="R127" s="84" t="s">
        <v>203</v>
      </c>
      <c r="S127" s="84" t="s">
        <v>203</v>
      </c>
      <c r="T127" s="84" t="s">
        <v>203</v>
      </c>
      <c r="U127" s="84" t="s">
        <v>203</v>
      </c>
      <c r="V127" s="84" t="s">
        <v>203</v>
      </c>
      <c r="W127" s="84" t="s">
        <v>203</v>
      </c>
      <c r="X127" s="84" t="s">
        <v>203</v>
      </c>
      <c r="Y127" s="84" t="s">
        <v>203</v>
      </c>
      <c r="Z127" s="84" t="s">
        <v>203</v>
      </c>
      <c r="AA127" s="84" t="s">
        <v>203</v>
      </c>
      <c r="AB127" s="84" t="s">
        <v>203</v>
      </c>
      <c r="AC127" s="84" t="s">
        <v>203</v>
      </c>
      <c r="AD127" s="84" t="s">
        <v>203</v>
      </c>
      <c r="AE127" s="84" t="s">
        <v>203</v>
      </c>
      <c r="AF127" s="84" t="s">
        <v>203</v>
      </c>
      <c r="AG127" s="84" t="s">
        <v>203</v>
      </c>
      <c r="AH127" s="84" t="s">
        <v>203</v>
      </c>
      <c r="AI127" s="84" t="s">
        <v>203</v>
      </c>
      <c r="AJ127" s="84" t="s">
        <v>203</v>
      </c>
      <c r="AK127" s="84" t="s">
        <v>203</v>
      </c>
      <c r="AL127" s="84" t="s">
        <v>203</v>
      </c>
      <c r="AM127" s="84" t="s">
        <v>203</v>
      </c>
      <c r="AN127" s="84" t="s">
        <v>203</v>
      </c>
      <c r="AO127" s="84" t="s">
        <v>310</v>
      </c>
      <c r="AP127" s="84" t="s">
        <v>310</v>
      </c>
      <c r="AQ127" s="84" t="s">
        <v>310</v>
      </c>
      <c r="AR127" s="84" t="s">
        <v>310</v>
      </c>
      <c r="AS127" s="84" t="s">
        <v>203</v>
      </c>
      <c r="AT127" s="84" t="s">
        <v>310</v>
      </c>
      <c r="AU127" s="84" t="s">
        <v>310</v>
      </c>
      <c r="AV127" s="84" t="s">
        <v>310</v>
      </c>
      <c r="AW127" s="84" t="s">
        <v>310</v>
      </c>
      <c r="AX127" s="84" t="s">
        <v>310</v>
      </c>
      <c r="AY127" s="84" t="s">
        <v>310</v>
      </c>
      <c r="AZ127" s="84" t="s">
        <v>310</v>
      </c>
      <c r="BA127" s="84" t="s">
        <v>310</v>
      </c>
      <c r="BB127" s="84" t="s">
        <v>310</v>
      </c>
      <c r="BC127" s="84" t="s">
        <v>310</v>
      </c>
      <c r="BD127" s="84" t="s">
        <v>310</v>
      </c>
      <c r="BE127" s="84" t="s">
        <v>310</v>
      </c>
      <c r="BF127" s="84" t="s">
        <v>310</v>
      </c>
      <c r="BG127" s="84" t="s">
        <v>310</v>
      </c>
      <c r="BH127" s="84" t="s">
        <v>310</v>
      </c>
      <c r="BI127" s="84" t="s">
        <v>310</v>
      </c>
      <c r="BJ127" s="84" t="s">
        <v>310</v>
      </c>
    </row>
    <row r="128" spans="1:62" s="80" customFormat="1" x14ac:dyDescent="0.3">
      <c r="A128" s="45">
        <v>501005</v>
      </c>
      <c r="B128" s="46" t="s">
        <v>590</v>
      </c>
      <c r="C128" s="46" t="s">
        <v>591</v>
      </c>
      <c r="D128" s="46" t="str">
        <f t="shared" si="7"/>
        <v>501005_Scholarship - special</v>
      </c>
      <c r="E128" s="76">
        <v>500000</v>
      </c>
      <c r="F128" s="76" t="s">
        <v>581</v>
      </c>
      <c r="G128" s="76" t="s">
        <v>199</v>
      </c>
      <c r="H128" s="77" t="str">
        <f t="shared" si="5"/>
        <v>500000_Student cost</v>
      </c>
      <c r="I128" s="76">
        <v>501000</v>
      </c>
      <c r="J128" s="76" t="s">
        <v>582</v>
      </c>
      <c r="K128" s="76" t="s">
        <v>583</v>
      </c>
      <c r="L128" s="77" t="str">
        <f t="shared" si="6"/>
        <v>501000_Scholarship/stipend</v>
      </c>
      <c r="M128" s="76" t="s">
        <v>308</v>
      </c>
      <c r="N128" s="78" t="s">
        <v>203</v>
      </c>
      <c r="O128" s="79" t="s">
        <v>203</v>
      </c>
      <c r="P128" s="79" t="s">
        <v>203</v>
      </c>
      <c r="Q128" s="79" t="s">
        <v>203</v>
      </c>
      <c r="R128" s="79" t="s">
        <v>203</v>
      </c>
      <c r="S128" s="79" t="s">
        <v>203</v>
      </c>
      <c r="T128" s="79" t="s">
        <v>203</v>
      </c>
      <c r="U128" s="79" t="s">
        <v>203</v>
      </c>
      <c r="V128" s="79" t="s">
        <v>203</v>
      </c>
      <c r="W128" s="79" t="s">
        <v>203</v>
      </c>
      <c r="X128" s="79" t="s">
        <v>203</v>
      </c>
      <c r="Y128" s="79" t="s">
        <v>203</v>
      </c>
      <c r="Z128" s="79" t="s">
        <v>203</v>
      </c>
      <c r="AA128" s="79" t="s">
        <v>203</v>
      </c>
      <c r="AB128" s="79" t="s">
        <v>203</v>
      </c>
      <c r="AC128" s="79" t="s">
        <v>203</v>
      </c>
      <c r="AD128" s="79" t="s">
        <v>203</v>
      </c>
      <c r="AE128" s="79" t="s">
        <v>203</v>
      </c>
      <c r="AF128" s="79" t="s">
        <v>203</v>
      </c>
      <c r="AG128" s="79" t="s">
        <v>203</v>
      </c>
      <c r="AH128" s="79" t="s">
        <v>203</v>
      </c>
      <c r="AI128" s="79" t="s">
        <v>203</v>
      </c>
      <c r="AJ128" s="79" t="s">
        <v>203</v>
      </c>
      <c r="AK128" s="79" t="s">
        <v>203</v>
      </c>
      <c r="AL128" s="79" t="s">
        <v>203</v>
      </c>
      <c r="AM128" s="79" t="s">
        <v>203</v>
      </c>
      <c r="AN128" s="79" t="s">
        <v>203</v>
      </c>
      <c r="AO128" s="79" t="s">
        <v>310</v>
      </c>
      <c r="AP128" s="79" t="s">
        <v>310</v>
      </c>
      <c r="AQ128" s="79" t="s">
        <v>310</v>
      </c>
      <c r="AR128" s="79" t="s">
        <v>310</v>
      </c>
      <c r="AS128" s="79" t="s">
        <v>203</v>
      </c>
      <c r="AT128" s="79" t="s">
        <v>310</v>
      </c>
      <c r="AU128" s="79" t="s">
        <v>310</v>
      </c>
      <c r="AV128" s="79" t="s">
        <v>310</v>
      </c>
      <c r="AW128" s="79" t="s">
        <v>310</v>
      </c>
      <c r="AX128" s="79" t="s">
        <v>310</v>
      </c>
      <c r="AY128" s="79" t="s">
        <v>310</v>
      </c>
      <c r="AZ128" s="79" t="s">
        <v>310</v>
      </c>
      <c r="BA128" s="79" t="s">
        <v>310</v>
      </c>
      <c r="BB128" s="79" t="s">
        <v>310</v>
      </c>
      <c r="BC128" s="79" t="s">
        <v>310</v>
      </c>
      <c r="BD128" s="79" t="s">
        <v>310</v>
      </c>
      <c r="BE128" s="79" t="s">
        <v>310</v>
      </c>
      <c r="BF128" s="79" t="s">
        <v>310</v>
      </c>
      <c r="BG128" s="79" t="s">
        <v>310</v>
      </c>
      <c r="BH128" s="79" t="s">
        <v>310</v>
      </c>
      <c r="BI128" s="79" t="s">
        <v>310</v>
      </c>
      <c r="BJ128" s="79" t="s">
        <v>310</v>
      </c>
    </row>
    <row r="129" spans="1:62" s="85" customFormat="1" x14ac:dyDescent="0.3">
      <c r="A129" s="43">
        <v>501006</v>
      </c>
      <c r="B129" s="44" t="s">
        <v>592</v>
      </c>
      <c r="C129" s="44" t="s">
        <v>593</v>
      </c>
      <c r="D129" s="44" t="str">
        <f t="shared" si="7"/>
        <v>501006_Scholarship - personalized</v>
      </c>
      <c r="E129" s="81">
        <v>500000</v>
      </c>
      <c r="F129" s="81" t="s">
        <v>581</v>
      </c>
      <c r="G129" s="44" t="s">
        <v>199</v>
      </c>
      <c r="H129" s="44" t="str">
        <f t="shared" si="5"/>
        <v>500000_Student cost</v>
      </c>
      <c r="I129" s="81">
        <v>501000</v>
      </c>
      <c r="J129" s="81" t="s">
        <v>582</v>
      </c>
      <c r="K129" s="44" t="s">
        <v>583</v>
      </c>
      <c r="L129" s="44" t="str">
        <f t="shared" si="6"/>
        <v>501000_Scholarship/stipend</v>
      </c>
      <c r="M129" s="82" t="s">
        <v>308</v>
      </c>
      <c r="N129" s="83" t="s">
        <v>203</v>
      </c>
      <c r="O129" s="84" t="s">
        <v>203</v>
      </c>
      <c r="P129" s="84" t="s">
        <v>203</v>
      </c>
      <c r="Q129" s="84" t="s">
        <v>203</v>
      </c>
      <c r="R129" s="84" t="s">
        <v>203</v>
      </c>
      <c r="S129" s="84" t="s">
        <v>203</v>
      </c>
      <c r="T129" s="84" t="s">
        <v>203</v>
      </c>
      <c r="U129" s="84" t="s">
        <v>203</v>
      </c>
      <c r="V129" s="84" t="s">
        <v>203</v>
      </c>
      <c r="W129" s="84" t="s">
        <v>203</v>
      </c>
      <c r="X129" s="84" t="s">
        <v>203</v>
      </c>
      <c r="Y129" s="84" t="s">
        <v>203</v>
      </c>
      <c r="Z129" s="84" t="s">
        <v>203</v>
      </c>
      <c r="AA129" s="84" t="s">
        <v>203</v>
      </c>
      <c r="AB129" s="84" t="s">
        <v>203</v>
      </c>
      <c r="AC129" s="84" t="s">
        <v>203</v>
      </c>
      <c r="AD129" s="84" t="s">
        <v>203</v>
      </c>
      <c r="AE129" s="84" t="s">
        <v>203</v>
      </c>
      <c r="AF129" s="84" t="s">
        <v>203</v>
      </c>
      <c r="AG129" s="84" t="s">
        <v>203</v>
      </c>
      <c r="AH129" s="84" t="s">
        <v>203</v>
      </c>
      <c r="AI129" s="84" t="s">
        <v>203</v>
      </c>
      <c r="AJ129" s="84" t="s">
        <v>203</v>
      </c>
      <c r="AK129" s="84" t="s">
        <v>203</v>
      </c>
      <c r="AL129" s="84" t="s">
        <v>203</v>
      </c>
      <c r="AM129" s="84" t="s">
        <v>203</v>
      </c>
      <c r="AN129" s="84" t="s">
        <v>203</v>
      </c>
      <c r="AO129" s="84" t="s">
        <v>310</v>
      </c>
      <c r="AP129" s="84" t="s">
        <v>310</v>
      </c>
      <c r="AQ129" s="84" t="s">
        <v>310</v>
      </c>
      <c r="AR129" s="84" t="s">
        <v>310</v>
      </c>
      <c r="AS129" s="84" t="s">
        <v>203</v>
      </c>
      <c r="AT129" s="84" t="s">
        <v>310</v>
      </c>
      <c r="AU129" s="84" t="s">
        <v>310</v>
      </c>
      <c r="AV129" s="84" t="s">
        <v>310</v>
      </c>
      <c r="AW129" s="84" t="s">
        <v>310</v>
      </c>
      <c r="AX129" s="84" t="s">
        <v>310</v>
      </c>
      <c r="AY129" s="84" t="s">
        <v>310</v>
      </c>
      <c r="AZ129" s="84" t="s">
        <v>310</v>
      </c>
      <c r="BA129" s="84" t="s">
        <v>310</v>
      </c>
      <c r="BB129" s="84" t="s">
        <v>310</v>
      </c>
      <c r="BC129" s="84" t="s">
        <v>310</v>
      </c>
      <c r="BD129" s="84" t="s">
        <v>310</v>
      </c>
      <c r="BE129" s="84" t="s">
        <v>310</v>
      </c>
      <c r="BF129" s="84" t="s">
        <v>310</v>
      </c>
      <c r="BG129" s="84" t="s">
        <v>310</v>
      </c>
      <c r="BH129" s="84" t="s">
        <v>310</v>
      </c>
      <c r="BI129" s="84" t="s">
        <v>310</v>
      </c>
      <c r="BJ129" s="84" t="s">
        <v>310</v>
      </c>
    </row>
    <row r="130" spans="1:62" s="80" customFormat="1" x14ac:dyDescent="0.3">
      <c r="A130" s="45">
        <v>501007</v>
      </c>
      <c r="B130" s="46" t="s">
        <v>594</v>
      </c>
      <c r="C130" s="46" t="s">
        <v>595</v>
      </c>
      <c r="D130" s="46" t="str">
        <f t="shared" si="7"/>
        <v>501007_Scholarship - President's</v>
      </c>
      <c r="E130" s="76">
        <v>500000</v>
      </c>
      <c r="F130" s="76" t="s">
        <v>581</v>
      </c>
      <c r="G130" s="76" t="s">
        <v>199</v>
      </c>
      <c r="H130" s="77" t="str">
        <f t="shared" si="5"/>
        <v>500000_Student cost</v>
      </c>
      <c r="I130" s="76">
        <v>501000</v>
      </c>
      <c r="J130" s="76" t="s">
        <v>582</v>
      </c>
      <c r="K130" s="76" t="s">
        <v>583</v>
      </c>
      <c r="L130" s="77" t="str">
        <f t="shared" si="6"/>
        <v>501000_Scholarship/stipend</v>
      </c>
      <c r="M130" s="76" t="s">
        <v>308</v>
      </c>
      <c r="N130" s="78" t="s">
        <v>203</v>
      </c>
      <c r="O130" s="79" t="s">
        <v>203</v>
      </c>
      <c r="P130" s="79" t="s">
        <v>203</v>
      </c>
      <c r="Q130" s="79" t="s">
        <v>203</v>
      </c>
      <c r="R130" s="79" t="s">
        <v>203</v>
      </c>
      <c r="S130" s="79" t="s">
        <v>203</v>
      </c>
      <c r="T130" s="79" t="s">
        <v>203</v>
      </c>
      <c r="U130" s="79" t="s">
        <v>203</v>
      </c>
      <c r="V130" s="79" t="s">
        <v>203</v>
      </c>
      <c r="W130" s="79" t="s">
        <v>203</v>
      </c>
      <c r="X130" s="79" t="s">
        <v>203</v>
      </c>
      <c r="Y130" s="79" t="s">
        <v>203</v>
      </c>
      <c r="Z130" s="79" t="s">
        <v>203</v>
      </c>
      <c r="AA130" s="79" t="s">
        <v>203</v>
      </c>
      <c r="AB130" s="79" t="s">
        <v>203</v>
      </c>
      <c r="AC130" s="79" t="s">
        <v>203</v>
      </c>
      <c r="AD130" s="79" t="s">
        <v>203</v>
      </c>
      <c r="AE130" s="79" t="s">
        <v>203</v>
      </c>
      <c r="AF130" s="79" t="s">
        <v>203</v>
      </c>
      <c r="AG130" s="79" t="s">
        <v>203</v>
      </c>
      <c r="AH130" s="79" t="s">
        <v>203</v>
      </c>
      <c r="AI130" s="79" t="s">
        <v>203</v>
      </c>
      <c r="AJ130" s="79" t="s">
        <v>203</v>
      </c>
      <c r="AK130" s="79" t="s">
        <v>203</v>
      </c>
      <c r="AL130" s="79" t="s">
        <v>203</v>
      </c>
      <c r="AM130" s="79" t="s">
        <v>203</v>
      </c>
      <c r="AN130" s="79" t="s">
        <v>203</v>
      </c>
      <c r="AO130" s="79" t="s">
        <v>310</v>
      </c>
      <c r="AP130" s="79" t="s">
        <v>310</v>
      </c>
      <c r="AQ130" s="79" t="s">
        <v>310</v>
      </c>
      <c r="AR130" s="79" t="s">
        <v>310</v>
      </c>
      <c r="AS130" s="79" t="s">
        <v>203</v>
      </c>
      <c r="AT130" s="79" t="s">
        <v>310</v>
      </c>
      <c r="AU130" s="79" t="s">
        <v>310</v>
      </c>
      <c r="AV130" s="79" t="s">
        <v>310</v>
      </c>
      <c r="AW130" s="79" t="s">
        <v>310</v>
      </c>
      <c r="AX130" s="79" t="s">
        <v>310</v>
      </c>
      <c r="AY130" s="79" t="s">
        <v>310</v>
      </c>
      <c r="AZ130" s="79" t="s">
        <v>310</v>
      </c>
      <c r="BA130" s="79" t="s">
        <v>310</v>
      </c>
      <c r="BB130" s="79" t="s">
        <v>310</v>
      </c>
      <c r="BC130" s="79" t="s">
        <v>310</v>
      </c>
      <c r="BD130" s="79" t="s">
        <v>310</v>
      </c>
      <c r="BE130" s="79" t="s">
        <v>310</v>
      </c>
      <c r="BF130" s="79" t="s">
        <v>310</v>
      </c>
      <c r="BG130" s="79" t="s">
        <v>310</v>
      </c>
      <c r="BH130" s="79" t="s">
        <v>310</v>
      </c>
      <c r="BI130" s="79" t="s">
        <v>310</v>
      </c>
      <c r="BJ130" s="79" t="s">
        <v>310</v>
      </c>
    </row>
    <row r="131" spans="1:62" s="85" customFormat="1" x14ac:dyDescent="0.3">
      <c r="A131" s="43">
        <v>502001</v>
      </c>
      <c r="B131" s="44" t="s">
        <v>596</v>
      </c>
      <c r="C131" s="44" t="s">
        <v>597</v>
      </c>
      <c r="D131" s="44" t="str">
        <f t="shared" ref="D131:D162" si="8">A131&amp;$D$1&amp;C131</f>
        <v>502001_Extra stipend for academic trip</v>
      </c>
      <c r="E131" s="81">
        <v>500000</v>
      </c>
      <c r="F131" s="81" t="s">
        <v>581</v>
      </c>
      <c r="G131" s="44" t="s">
        <v>199</v>
      </c>
      <c r="H131" s="44" t="str">
        <f t="shared" si="5"/>
        <v>500000_Student cost</v>
      </c>
      <c r="I131" s="81">
        <v>502000</v>
      </c>
      <c r="J131" s="81" t="s">
        <v>598</v>
      </c>
      <c r="K131" s="44" t="s">
        <v>599</v>
      </c>
      <c r="L131" s="44" t="str">
        <f t="shared" si="6"/>
        <v>502000_Extra stipend</v>
      </c>
      <c r="M131" s="82" t="s">
        <v>308</v>
      </c>
      <c r="N131" s="83" t="s">
        <v>203</v>
      </c>
      <c r="O131" s="84" t="s">
        <v>203</v>
      </c>
      <c r="P131" s="84" t="s">
        <v>203</v>
      </c>
      <c r="Q131" s="84" t="s">
        <v>203</v>
      </c>
      <c r="R131" s="84" t="s">
        <v>203</v>
      </c>
      <c r="S131" s="84" t="s">
        <v>203</v>
      </c>
      <c r="T131" s="84" t="s">
        <v>203</v>
      </c>
      <c r="U131" s="84" t="s">
        <v>203</v>
      </c>
      <c r="V131" s="84" t="s">
        <v>203</v>
      </c>
      <c r="W131" s="84" t="s">
        <v>203</v>
      </c>
      <c r="X131" s="84" t="s">
        <v>203</v>
      </c>
      <c r="Y131" s="84" t="s">
        <v>203</v>
      </c>
      <c r="Z131" s="84" t="s">
        <v>203</v>
      </c>
      <c r="AA131" s="84" t="s">
        <v>203</v>
      </c>
      <c r="AB131" s="84" t="s">
        <v>203</v>
      </c>
      <c r="AC131" s="84" t="s">
        <v>203</v>
      </c>
      <c r="AD131" s="84" t="s">
        <v>203</v>
      </c>
      <c r="AE131" s="84" t="s">
        <v>203</v>
      </c>
      <c r="AF131" s="84" t="s">
        <v>203</v>
      </c>
      <c r="AG131" s="84" t="s">
        <v>203</v>
      </c>
      <c r="AH131" s="84" t="s">
        <v>203</v>
      </c>
      <c r="AI131" s="84" t="s">
        <v>203</v>
      </c>
      <c r="AJ131" s="84" t="s">
        <v>203</v>
      </c>
      <c r="AK131" s="84" t="s">
        <v>203</v>
      </c>
      <c r="AL131" s="84" t="s">
        <v>203</v>
      </c>
      <c r="AM131" s="84" t="s">
        <v>203</v>
      </c>
      <c r="AN131" s="84" t="s">
        <v>203</v>
      </c>
      <c r="AO131" s="84" t="s">
        <v>310</v>
      </c>
      <c r="AP131" s="84" t="s">
        <v>310</v>
      </c>
      <c r="AQ131" s="84" t="s">
        <v>310</v>
      </c>
      <c r="AR131" s="84" t="s">
        <v>310</v>
      </c>
      <c r="AS131" s="84" t="s">
        <v>203</v>
      </c>
      <c r="AT131" s="84" t="s">
        <v>310</v>
      </c>
      <c r="AU131" s="84" t="s">
        <v>310</v>
      </c>
      <c r="AV131" s="84" t="s">
        <v>310</v>
      </c>
      <c r="AW131" s="84" t="s">
        <v>310</v>
      </c>
      <c r="AX131" s="84" t="s">
        <v>310</v>
      </c>
      <c r="AY131" s="84" t="s">
        <v>310</v>
      </c>
      <c r="AZ131" s="84" t="s">
        <v>310</v>
      </c>
      <c r="BA131" s="84" t="s">
        <v>310</v>
      </c>
      <c r="BB131" s="84" t="s">
        <v>310</v>
      </c>
      <c r="BC131" s="84" t="s">
        <v>310</v>
      </c>
      <c r="BD131" s="84" t="s">
        <v>310</v>
      </c>
      <c r="BE131" s="84" t="s">
        <v>310</v>
      </c>
      <c r="BF131" s="84" t="s">
        <v>310</v>
      </c>
      <c r="BG131" s="84" t="s">
        <v>310</v>
      </c>
      <c r="BH131" s="84" t="s">
        <v>310</v>
      </c>
      <c r="BI131" s="84" t="s">
        <v>310</v>
      </c>
      <c r="BJ131" s="84" t="s">
        <v>310</v>
      </c>
    </row>
    <row r="132" spans="1:62" s="80" customFormat="1" x14ac:dyDescent="0.3">
      <c r="A132" s="45">
        <v>502002</v>
      </c>
      <c r="B132" s="46" t="s">
        <v>600</v>
      </c>
      <c r="C132" s="46" t="s">
        <v>601</v>
      </c>
      <c r="D132" s="46" t="str">
        <f t="shared" si="8"/>
        <v>502002_Students awards</v>
      </c>
      <c r="E132" s="76">
        <v>500000</v>
      </c>
      <c r="F132" s="76" t="s">
        <v>581</v>
      </c>
      <c r="G132" s="76" t="s">
        <v>199</v>
      </c>
      <c r="H132" s="77" t="str">
        <f t="shared" si="5"/>
        <v>500000_Student cost</v>
      </c>
      <c r="I132" s="76">
        <v>502000</v>
      </c>
      <c r="J132" s="76" t="s">
        <v>598</v>
      </c>
      <c r="K132" s="76" t="s">
        <v>599</v>
      </c>
      <c r="L132" s="77" t="str">
        <f t="shared" si="6"/>
        <v>502000_Extra stipend</v>
      </c>
      <c r="M132" s="76" t="s">
        <v>308</v>
      </c>
      <c r="N132" s="78" t="s">
        <v>203</v>
      </c>
      <c r="O132" s="79" t="s">
        <v>203</v>
      </c>
      <c r="P132" s="79" t="s">
        <v>203</v>
      </c>
      <c r="Q132" s="79" t="s">
        <v>203</v>
      </c>
      <c r="R132" s="79" t="s">
        <v>203</v>
      </c>
      <c r="S132" s="79" t="s">
        <v>203</v>
      </c>
      <c r="T132" s="79" t="s">
        <v>203</v>
      </c>
      <c r="U132" s="79" t="s">
        <v>203</v>
      </c>
      <c r="V132" s="79" t="s">
        <v>203</v>
      </c>
      <c r="W132" s="79" t="s">
        <v>203</v>
      </c>
      <c r="X132" s="79" t="s">
        <v>203</v>
      </c>
      <c r="Y132" s="79" t="s">
        <v>203</v>
      </c>
      <c r="Z132" s="79" t="s">
        <v>203</v>
      </c>
      <c r="AA132" s="79" t="s">
        <v>203</v>
      </c>
      <c r="AB132" s="79" t="s">
        <v>203</v>
      </c>
      <c r="AC132" s="79" t="s">
        <v>203</v>
      </c>
      <c r="AD132" s="79" t="s">
        <v>203</v>
      </c>
      <c r="AE132" s="79" t="s">
        <v>203</v>
      </c>
      <c r="AF132" s="79" t="s">
        <v>203</v>
      </c>
      <c r="AG132" s="79" t="s">
        <v>203</v>
      </c>
      <c r="AH132" s="79" t="s">
        <v>203</v>
      </c>
      <c r="AI132" s="79" t="s">
        <v>203</v>
      </c>
      <c r="AJ132" s="79" t="s">
        <v>203</v>
      </c>
      <c r="AK132" s="79" t="s">
        <v>203</v>
      </c>
      <c r="AL132" s="79" t="s">
        <v>203</v>
      </c>
      <c r="AM132" s="79" t="s">
        <v>203</v>
      </c>
      <c r="AN132" s="79" t="s">
        <v>203</v>
      </c>
      <c r="AO132" s="79" t="s">
        <v>310</v>
      </c>
      <c r="AP132" s="79" t="s">
        <v>310</v>
      </c>
      <c r="AQ132" s="79" t="s">
        <v>310</v>
      </c>
      <c r="AR132" s="79" t="s">
        <v>310</v>
      </c>
      <c r="AS132" s="79" t="s">
        <v>203</v>
      </c>
      <c r="AT132" s="79" t="s">
        <v>310</v>
      </c>
      <c r="AU132" s="79" t="s">
        <v>310</v>
      </c>
      <c r="AV132" s="79" t="s">
        <v>310</v>
      </c>
      <c r="AW132" s="79" t="s">
        <v>310</v>
      </c>
      <c r="AX132" s="79" t="s">
        <v>310</v>
      </c>
      <c r="AY132" s="79" t="s">
        <v>310</v>
      </c>
      <c r="AZ132" s="79" t="s">
        <v>310</v>
      </c>
      <c r="BA132" s="79" t="s">
        <v>310</v>
      </c>
      <c r="BB132" s="79" t="s">
        <v>310</v>
      </c>
      <c r="BC132" s="79" t="s">
        <v>310</v>
      </c>
      <c r="BD132" s="79" t="s">
        <v>310</v>
      </c>
      <c r="BE132" s="79" t="s">
        <v>310</v>
      </c>
      <c r="BF132" s="79" t="s">
        <v>310</v>
      </c>
      <c r="BG132" s="79" t="s">
        <v>310</v>
      </c>
      <c r="BH132" s="79" t="s">
        <v>310</v>
      </c>
      <c r="BI132" s="79" t="s">
        <v>310</v>
      </c>
      <c r="BJ132" s="79" t="s">
        <v>310</v>
      </c>
    </row>
    <row r="133" spans="1:62" s="85" customFormat="1" x14ac:dyDescent="0.3">
      <c r="A133" s="43">
        <v>503001</v>
      </c>
      <c r="B133" s="44" t="s">
        <v>602</v>
      </c>
      <c r="C133" s="44" t="s">
        <v>603</v>
      </c>
      <c r="D133" s="44" t="str">
        <f t="shared" si="8"/>
        <v>503001_Living expenses - students</v>
      </c>
      <c r="E133" s="81">
        <v>500000</v>
      </c>
      <c r="F133" s="81" t="s">
        <v>581</v>
      </c>
      <c r="G133" s="44" t="s">
        <v>199</v>
      </c>
      <c r="H133" s="44" t="str">
        <f t="shared" si="5"/>
        <v>500000_Student cost</v>
      </c>
      <c r="I133" s="81">
        <v>503000</v>
      </c>
      <c r="J133" s="81" t="s">
        <v>604</v>
      </c>
      <c r="K133" s="44" t="s">
        <v>605</v>
      </c>
      <c r="L133" s="44" t="str">
        <f t="shared" si="6"/>
        <v>503000_Compensations and benefits - students</v>
      </c>
      <c r="M133" s="82" t="s">
        <v>308</v>
      </c>
      <c r="N133" s="83" t="s">
        <v>203</v>
      </c>
      <c r="O133" s="84" t="s">
        <v>203</v>
      </c>
      <c r="P133" s="84" t="s">
        <v>203</v>
      </c>
      <c r="Q133" s="84" t="s">
        <v>203</v>
      </c>
      <c r="R133" s="84" t="s">
        <v>203</v>
      </c>
      <c r="S133" s="84" t="s">
        <v>203</v>
      </c>
      <c r="T133" s="84" t="s">
        <v>203</v>
      </c>
      <c r="U133" s="84" t="s">
        <v>203</v>
      </c>
      <c r="V133" s="84" t="s">
        <v>203</v>
      </c>
      <c r="W133" s="84" t="s">
        <v>203</v>
      </c>
      <c r="X133" s="84" t="s">
        <v>203</v>
      </c>
      <c r="Y133" s="84" t="s">
        <v>203</v>
      </c>
      <c r="Z133" s="84" t="s">
        <v>203</v>
      </c>
      <c r="AA133" s="84" t="s">
        <v>203</v>
      </c>
      <c r="AB133" s="84" t="s">
        <v>203</v>
      </c>
      <c r="AC133" s="84" t="s">
        <v>203</v>
      </c>
      <c r="AD133" s="84" t="s">
        <v>203</v>
      </c>
      <c r="AE133" s="84" t="s">
        <v>203</v>
      </c>
      <c r="AF133" s="84" t="s">
        <v>203</v>
      </c>
      <c r="AG133" s="84" t="s">
        <v>203</v>
      </c>
      <c r="AH133" s="84" t="s">
        <v>203</v>
      </c>
      <c r="AI133" s="84" t="s">
        <v>203</v>
      </c>
      <c r="AJ133" s="84" t="s">
        <v>203</v>
      </c>
      <c r="AK133" s="84" t="s">
        <v>203</v>
      </c>
      <c r="AL133" s="84" t="s">
        <v>203</v>
      </c>
      <c r="AM133" s="84" t="s">
        <v>203</v>
      </c>
      <c r="AN133" s="84" t="s">
        <v>203</v>
      </c>
      <c r="AO133" s="84" t="s">
        <v>310</v>
      </c>
      <c r="AP133" s="84" t="s">
        <v>310</v>
      </c>
      <c r="AQ133" s="84" t="s">
        <v>310</v>
      </c>
      <c r="AR133" s="84" t="s">
        <v>310</v>
      </c>
      <c r="AS133" s="84" t="s">
        <v>203</v>
      </c>
      <c r="AT133" s="84" t="s">
        <v>310</v>
      </c>
      <c r="AU133" s="84" t="s">
        <v>310</v>
      </c>
      <c r="AV133" s="84" t="s">
        <v>310</v>
      </c>
      <c r="AW133" s="84" t="s">
        <v>310</v>
      </c>
      <c r="AX133" s="84" t="s">
        <v>310</v>
      </c>
      <c r="AY133" s="84" t="s">
        <v>310</v>
      </c>
      <c r="AZ133" s="84" t="s">
        <v>310</v>
      </c>
      <c r="BA133" s="84" t="s">
        <v>310</v>
      </c>
      <c r="BB133" s="84" t="s">
        <v>310</v>
      </c>
      <c r="BC133" s="84" t="s">
        <v>310</v>
      </c>
      <c r="BD133" s="84" t="s">
        <v>310</v>
      </c>
      <c r="BE133" s="84" t="s">
        <v>310</v>
      </c>
      <c r="BF133" s="84" t="s">
        <v>310</v>
      </c>
      <c r="BG133" s="84" t="s">
        <v>310</v>
      </c>
      <c r="BH133" s="84" t="s">
        <v>310</v>
      </c>
      <c r="BI133" s="84" t="s">
        <v>310</v>
      </c>
      <c r="BJ133" s="84" t="s">
        <v>310</v>
      </c>
    </row>
    <row r="134" spans="1:62" s="80" customFormat="1" x14ac:dyDescent="0.3">
      <c r="A134" s="45">
        <v>503002</v>
      </c>
      <c r="B134" s="46" t="s">
        <v>606</v>
      </c>
      <c r="C134" s="46" t="s">
        <v>607</v>
      </c>
      <c r="D134" s="46" t="str">
        <f t="shared" si="8"/>
        <v>503002_Relocation support - students</v>
      </c>
      <c r="E134" s="76">
        <v>500000</v>
      </c>
      <c r="F134" s="76" t="s">
        <v>581</v>
      </c>
      <c r="G134" s="76" t="s">
        <v>199</v>
      </c>
      <c r="H134" s="77" t="str">
        <f t="shared" ref="H134:H181" si="9">E134&amp;$D$1&amp;G134</f>
        <v>500000_Student cost</v>
      </c>
      <c r="I134" s="76">
        <v>503000</v>
      </c>
      <c r="J134" s="76" t="s">
        <v>604</v>
      </c>
      <c r="K134" s="76" t="s">
        <v>605</v>
      </c>
      <c r="L134" s="77" t="str">
        <f t="shared" ref="L134:L181" si="10">I134&amp;$D$1&amp;K134</f>
        <v>503000_Compensations and benefits - students</v>
      </c>
      <c r="M134" s="76" t="s">
        <v>308</v>
      </c>
      <c r="N134" s="78" t="s">
        <v>203</v>
      </c>
      <c r="O134" s="79" t="s">
        <v>203</v>
      </c>
      <c r="P134" s="79" t="s">
        <v>203</v>
      </c>
      <c r="Q134" s="79" t="s">
        <v>203</v>
      </c>
      <c r="R134" s="79" t="s">
        <v>203</v>
      </c>
      <c r="S134" s="79" t="s">
        <v>203</v>
      </c>
      <c r="T134" s="79" t="s">
        <v>203</v>
      </c>
      <c r="U134" s="79" t="s">
        <v>203</v>
      </c>
      <c r="V134" s="79" t="s">
        <v>203</v>
      </c>
      <c r="W134" s="79" t="s">
        <v>203</v>
      </c>
      <c r="X134" s="79" t="s">
        <v>203</v>
      </c>
      <c r="Y134" s="79" t="s">
        <v>203</v>
      </c>
      <c r="Z134" s="79" t="s">
        <v>203</v>
      </c>
      <c r="AA134" s="79" t="s">
        <v>203</v>
      </c>
      <c r="AB134" s="79" t="s">
        <v>203</v>
      </c>
      <c r="AC134" s="79" t="s">
        <v>203</v>
      </c>
      <c r="AD134" s="79" t="s">
        <v>203</v>
      </c>
      <c r="AE134" s="79" t="s">
        <v>203</v>
      </c>
      <c r="AF134" s="79" t="s">
        <v>203</v>
      </c>
      <c r="AG134" s="79" t="s">
        <v>203</v>
      </c>
      <c r="AH134" s="79" t="s">
        <v>203</v>
      </c>
      <c r="AI134" s="79" t="s">
        <v>203</v>
      </c>
      <c r="AJ134" s="79" t="s">
        <v>203</v>
      </c>
      <c r="AK134" s="79" t="s">
        <v>203</v>
      </c>
      <c r="AL134" s="79" t="s">
        <v>203</v>
      </c>
      <c r="AM134" s="79" t="s">
        <v>203</v>
      </c>
      <c r="AN134" s="79" t="s">
        <v>203</v>
      </c>
      <c r="AO134" s="79" t="s">
        <v>310</v>
      </c>
      <c r="AP134" s="79" t="s">
        <v>310</v>
      </c>
      <c r="AQ134" s="79" t="s">
        <v>310</v>
      </c>
      <c r="AR134" s="79" t="s">
        <v>310</v>
      </c>
      <c r="AS134" s="79" t="s">
        <v>203</v>
      </c>
      <c r="AT134" s="79" t="s">
        <v>310</v>
      </c>
      <c r="AU134" s="79" t="s">
        <v>310</v>
      </c>
      <c r="AV134" s="79" t="s">
        <v>310</v>
      </c>
      <c r="AW134" s="79" t="s">
        <v>310</v>
      </c>
      <c r="AX134" s="79" t="s">
        <v>310</v>
      </c>
      <c r="AY134" s="79" t="s">
        <v>310</v>
      </c>
      <c r="AZ134" s="79" t="s">
        <v>310</v>
      </c>
      <c r="BA134" s="79" t="s">
        <v>310</v>
      </c>
      <c r="BB134" s="79" t="s">
        <v>310</v>
      </c>
      <c r="BC134" s="79" t="s">
        <v>310</v>
      </c>
      <c r="BD134" s="79" t="s">
        <v>310</v>
      </c>
      <c r="BE134" s="79" t="s">
        <v>310</v>
      </c>
      <c r="BF134" s="79" t="s">
        <v>310</v>
      </c>
      <c r="BG134" s="79" t="s">
        <v>310</v>
      </c>
      <c r="BH134" s="79" t="s">
        <v>310</v>
      </c>
      <c r="BI134" s="79" t="s">
        <v>310</v>
      </c>
      <c r="BJ134" s="79" t="s">
        <v>310</v>
      </c>
    </row>
    <row r="135" spans="1:62" s="85" customFormat="1" x14ac:dyDescent="0.3">
      <c r="A135" s="43">
        <v>503003</v>
      </c>
      <c r="B135" s="44" t="s">
        <v>608</v>
      </c>
      <c r="C135" s="44" t="s">
        <v>609</v>
      </c>
      <c r="D135" s="44" t="str">
        <f t="shared" si="8"/>
        <v>503003_Voluntary health insurance - students</v>
      </c>
      <c r="E135" s="81">
        <v>500000</v>
      </c>
      <c r="F135" s="81" t="s">
        <v>581</v>
      </c>
      <c r="G135" s="44" t="s">
        <v>199</v>
      </c>
      <c r="H135" s="44" t="str">
        <f t="shared" si="9"/>
        <v>500000_Student cost</v>
      </c>
      <c r="I135" s="81">
        <v>503000</v>
      </c>
      <c r="J135" s="81" t="s">
        <v>604</v>
      </c>
      <c r="K135" s="44" t="s">
        <v>605</v>
      </c>
      <c r="L135" s="44" t="str">
        <f t="shared" si="10"/>
        <v>503000_Compensations and benefits - students</v>
      </c>
      <c r="M135" s="82" t="s">
        <v>308</v>
      </c>
      <c r="N135" s="83" t="s">
        <v>203</v>
      </c>
      <c r="O135" s="84" t="s">
        <v>203</v>
      </c>
      <c r="P135" s="84" t="s">
        <v>203</v>
      </c>
      <c r="Q135" s="84" t="s">
        <v>203</v>
      </c>
      <c r="R135" s="84" t="s">
        <v>203</v>
      </c>
      <c r="S135" s="84" t="s">
        <v>203</v>
      </c>
      <c r="T135" s="84" t="s">
        <v>203</v>
      </c>
      <c r="U135" s="84" t="s">
        <v>203</v>
      </c>
      <c r="V135" s="84" t="s">
        <v>203</v>
      </c>
      <c r="W135" s="84" t="s">
        <v>203</v>
      </c>
      <c r="X135" s="84" t="s">
        <v>203</v>
      </c>
      <c r="Y135" s="84" t="s">
        <v>203</v>
      </c>
      <c r="Z135" s="84" t="s">
        <v>203</v>
      </c>
      <c r="AA135" s="84" t="s">
        <v>203</v>
      </c>
      <c r="AB135" s="84" t="s">
        <v>203</v>
      </c>
      <c r="AC135" s="84" t="s">
        <v>203</v>
      </c>
      <c r="AD135" s="84" t="s">
        <v>203</v>
      </c>
      <c r="AE135" s="84" t="s">
        <v>203</v>
      </c>
      <c r="AF135" s="84" t="s">
        <v>203</v>
      </c>
      <c r="AG135" s="84" t="s">
        <v>203</v>
      </c>
      <c r="AH135" s="84" t="s">
        <v>203</v>
      </c>
      <c r="AI135" s="84" t="s">
        <v>203</v>
      </c>
      <c r="AJ135" s="84" t="s">
        <v>203</v>
      </c>
      <c r="AK135" s="84" t="s">
        <v>203</v>
      </c>
      <c r="AL135" s="84" t="s">
        <v>203</v>
      </c>
      <c r="AM135" s="84" t="s">
        <v>203</v>
      </c>
      <c r="AN135" s="84" t="s">
        <v>203</v>
      </c>
      <c r="AO135" s="84" t="s">
        <v>310</v>
      </c>
      <c r="AP135" s="84" t="s">
        <v>310</v>
      </c>
      <c r="AQ135" s="84" t="s">
        <v>310</v>
      </c>
      <c r="AR135" s="84" t="s">
        <v>310</v>
      </c>
      <c r="AS135" s="84" t="s">
        <v>203</v>
      </c>
      <c r="AT135" s="84" t="s">
        <v>310</v>
      </c>
      <c r="AU135" s="84" t="s">
        <v>310</v>
      </c>
      <c r="AV135" s="84" t="s">
        <v>310</v>
      </c>
      <c r="AW135" s="84" t="s">
        <v>310</v>
      </c>
      <c r="AX135" s="84" t="s">
        <v>310</v>
      </c>
      <c r="AY135" s="84" t="s">
        <v>310</v>
      </c>
      <c r="AZ135" s="84" t="s">
        <v>310</v>
      </c>
      <c r="BA135" s="84" t="s">
        <v>310</v>
      </c>
      <c r="BB135" s="84" t="s">
        <v>310</v>
      </c>
      <c r="BC135" s="84" t="s">
        <v>310</v>
      </c>
      <c r="BD135" s="84" t="s">
        <v>310</v>
      </c>
      <c r="BE135" s="84" t="s">
        <v>310</v>
      </c>
      <c r="BF135" s="84" t="s">
        <v>310</v>
      </c>
      <c r="BG135" s="84" t="s">
        <v>310</v>
      </c>
      <c r="BH135" s="84" t="s">
        <v>310</v>
      </c>
      <c r="BI135" s="84" t="s">
        <v>310</v>
      </c>
      <c r="BJ135" s="84" t="s">
        <v>310</v>
      </c>
    </row>
    <row r="136" spans="1:62" s="80" customFormat="1" x14ac:dyDescent="0.3">
      <c r="A136" s="45">
        <v>503004</v>
      </c>
      <c r="B136" s="46" t="s">
        <v>610</v>
      </c>
      <c r="C136" s="46" t="s">
        <v>611</v>
      </c>
      <c r="D136" s="46" t="str">
        <f t="shared" si="8"/>
        <v>503004_Personal accident and life insurance - students</v>
      </c>
      <c r="E136" s="76">
        <v>500000</v>
      </c>
      <c r="F136" s="76" t="s">
        <v>581</v>
      </c>
      <c r="G136" s="76" t="s">
        <v>199</v>
      </c>
      <c r="H136" s="77" t="str">
        <f t="shared" si="9"/>
        <v>500000_Student cost</v>
      </c>
      <c r="I136" s="76">
        <v>503000</v>
      </c>
      <c r="J136" s="76" t="s">
        <v>604</v>
      </c>
      <c r="K136" s="76" t="s">
        <v>605</v>
      </c>
      <c r="L136" s="77" t="str">
        <f t="shared" si="10"/>
        <v>503000_Compensations and benefits - students</v>
      </c>
      <c r="M136" s="76" t="s">
        <v>308</v>
      </c>
      <c r="N136" s="78" t="s">
        <v>203</v>
      </c>
      <c r="O136" s="79" t="s">
        <v>203</v>
      </c>
      <c r="P136" s="79" t="s">
        <v>203</v>
      </c>
      <c r="Q136" s="79" t="s">
        <v>203</v>
      </c>
      <c r="R136" s="79" t="s">
        <v>203</v>
      </c>
      <c r="S136" s="79" t="s">
        <v>203</v>
      </c>
      <c r="T136" s="79" t="s">
        <v>203</v>
      </c>
      <c r="U136" s="79" t="s">
        <v>203</v>
      </c>
      <c r="V136" s="79" t="s">
        <v>203</v>
      </c>
      <c r="W136" s="79" t="s">
        <v>203</v>
      </c>
      <c r="X136" s="79" t="s">
        <v>203</v>
      </c>
      <c r="Y136" s="79" t="s">
        <v>203</v>
      </c>
      <c r="Z136" s="79" t="s">
        <v>203</v>
      </c>
      <c r="AA136" s="79" t="s">
        <v>203</v>
      </c>
      <c r="AB136" s="79" t="s">
        <v>203</v>
      </c>
      <c r="AC136" s="79" t="s">
        <v>203</v>
      </c>
      <c r="AD136" s="79" t="s">
        <v>203</v>
      </c>
      <c r="AE136" s="79" t="s">
        <v>203</v>
      </c>
      <c r="AF136" s="79" t="s">
        <v>203</v>
      </c>
      <c r="AG136" s="79" t="s">
        <v>203</v>
      </c>
      <c r="AH136" s="79" t="s">
        <v>203</v>
      </c>
      <c r="AI136" s="79" t="s">
        <v>203</v>
      </c>
      <c r="AJ136" s="79" t="s">
        <v>203</v>
      </c>
      <c r="AK136" s="79" t="s">
        <v>203</v>
      </c>
      <c r="AL136" s="79" t="s">
        <v>203</v>
      </c>
      <c r="AM136" s="79" t="s">
        <v>203</v>
      </c>
      <c r="AN136" s="79" t="s">
        <v>203</v>
      </c>
      <c r="AO136" s="79" t="s">
        <v>310</v>
      </c>
      <c r="AP136" s="79" t="s">
        <v>310</v>
      </c>
      <c r="AQ136" s="79" t="s">
        <v>310</v>
      </c>
      <c r="AR136" s="79" t="s">
        <v>310</v>
      </c>
      <c r="AS136" s="79" t="s">
        <v>203</v>
      </c>
      <c r="AT136" s="79" t="s">
        <v>310</v>
      </c>
      <c r="AU136" s="79" t="s">
        <v>310</v>
      </c>
      <c r="AV136" s="79" t="s">
        <v>310</v>
      </c>
      <c r="AW136" s="79" t="s">
        <v>310</v>
      </c>
      <c r="AX136" s="79" t="s">
        <v>310</v>
      </c>
      <c r="AY136" s="79" t="s">
        <v>310</v>
      </c>
      <c r="AZ136" s="79" t="s">
        <v>310</v>
      </c>
      <c r="BA136" s="79" t="s">
        <v>310</v>
      </c>
      <c r="BB136" s="79" t="s">
        <v>310</v>
      </c>
      <c r="BC136" s="79" t="s">
        <v>310</v>
      </c>
      <c r="BD136" s="79" t="s">
        <v>310</v>
      </c>
      <c r="BE136" s="79" t="s">
        <v>310</v>
      </c>
      <c r="BF136" s="79" t="s">
        <v>310</v>
      </c>
      <c r="BG136" s="79" t="s">
        <v>310</v>
      </c>
      <c r="BH136" s="79" t="s">
        <v>310</v>
      </c>
      <c r="BI136" s="79" t="s">
        <v>310</v>
      </c>
      <c r="BJ136" s="79" t="s">
        <v>310</v>
      </c>
    </row>
    <row r="137" spans="1:62" s="85" customFormat="1" x14ac:dyDescent="0.3">
      <c r="A137" s="43">
        <v>504001</v>
      </c>
      <c r="B137" s="44" t="s">
        <v>612</v>
      </c>
      <c r="C137" s="44" t="s">
        <v>613</v>
      </c>
      <c r="D137" s="44" t="str">
        <f t="shared" si="8"/>
        <v>504001_Students selection expeneses</v>
      </c>
      <c r="E137" s="81">
        <v>500000</v>
      </c>
      <c r="F137" s="81" t="s">
        <v>581</v>
      </c>
      <c r="G137" s="44" t="s">
        <v>199</v>
      </c>
      <c r="H137" s="44" t="str">
        <f t="shared" si="9"/>
        <v>500000_Student cost</v>
      </c>
      <c r="I137" s="81">
        <v>504000</v>
      </c>
      <c r="J137" s="81" t="s">
        <v>614</v>
      </c>
      <c r="K137" s="44" t="s">
        <v>615</v>
      </c>
      <c r="L137" s="44" t="str">
        <f t="shared" si="10"/>
        <v>504000_Education activities</v>
      </c>
      <c r="M137" s="82" t="s">
        <v>308</v>
      </c>
      <c r="N137" s="83" t="s">
        <v>203</v>
      </c>
      <c r="O137" s="84" t="s">
        <v>203</v>
      </c>
      <c r="P137" s="84" t="s">
        <v>203</v>
      </c>
      <c r="Q137" s="84" t="s">
        <v>203</v>
      </c>
      <c r="R137" s="84" t="s">
        <v>203</v>
      </c>
      <c r="S137" s="84" t="s">
        <v>203</v>
      </c>
      <c r="T137" s="84" t="s">
        <v>203</v>
      </c>
      <c r="U137" s="84" t="s">
        <v>203</v>
      </c>
      <c r="V137" s="84" t="s">
        <v>203</v>
      </c>
      <c r="W137" s="84" t="s">
        <v>203</v>
      </c>
      <c r="X137" s="84" t="s">
        <v>203</v>
      </c>
      <c r="Y137" s="84" t="s">
        <v>203</v>
      </c>
      <c r="Z137" s="84" t="s">
        <v>203</v>
      </c>
      <c r="AA137" s="84" t="s">
        <v>203</v>
      </c>
      <c r="AB137" s="84" t="s">
        <v>203</v>
      </c>
      <c r="AC137" s="84" t="s">
        <v>203</v>
      </c>
      <c r="AD137" s="84" t="s">
        <v>203</v>
      </c>
      <c r="AE137" s="84" t="s">
        <v>203</v>
      </c>
      <c r="AF137" s="84" t="s">
        <v>203</v>
      </c>
      <c r="AG137" s="84" t="s">
        <v>203</v>
      </c>
      <c r="AH137" s="84" t="s">
        <v>203</v>
      </c>
      <c r="AI137" s="84" t="s">
        <v>203</v>
      </c>
      <c r="AJ137" s="84" t="s">
        <v>203</v>
      </c>
      <c r="AK137" s="84" t="s">
        <v>203</v>
      </c>
      <c r="AL137" s="84" t="s">
        <v>203</v>
      </c>
      <c r="AM137" s="84" t="s">
        <v>203</v>
      </c>
      <c r="AN137" s="84" t="s">
        <v>203</v>
      </c>
      <c r="AO137" s="84" t="s">
        <v>310</v>
      </c>
      <c r="AP137" s="84" t="s">
        <v>310</v>
      </c>
      <c r="AQ137" s="84" t="s">
        <v>310</v>
      </c>
      <c r="AR137" s="84" t="s">
        <v>310</v>
      </c>
      <c r="AS137" s="84" t="s">
        <v>203</v>
      </c>
      <c r="AT137" s="84" t="s">
        <v>310</v>
      </c>
      <c r="AU137" s="84" t="s">
        <v>310</v>
      </c>
      <c r="AV137" s="84" t="s">
        <v>310</v>
      </c>
      <c r="AW137" s="84" t="s">
        <v>310</v>
      </c>
      <c r="AX137" s="84" t="s">
        <v>310</v>
      </c>
      <c r="AY137" s="84" t="s">
        <v>310</v>
      </c>
      <c r="AZ137" s="84" t="s">
        <v>310</v>
      </c>
      <c r="BA137" s="84" t="s">
        <v>310</v>
      </c>
      <c r="BB137" s="84" t="s">
        <v>310</v>
      </c>
      <c r="BC137" s="84" t="s">
        <v>310</v>
      </c>
      <c r="BD137" s="84" t="s">
        <v>310</v>
      </c>
      <c r="BE137" s="84" t="s">
        <v>310</v>
      </c>
      <c r="BF137" s="84" t="s">
        <v>310</v>
      </c>
      <c r="BG137" s="84" t="s">
        <v>310</v>
      </c>
      <c r="BH137" s="84" t="s">
        <v>310</v>
      </c>
      <c r="BI137" s="84" t="s">
        <v>310</v>
      </c>
      <c r="BJ137" s="84" t="s">
        <v>310</v>
      </c>
    </row>
    <row r="138" spans="1:62" s="80" customFormat="1" x14ac:dyDescent="0.3">
      <c r="A138" s="45">
        <v>504002</v>
      </c>
      <c r="B138" s="46" t="s">
        <v>616</v>
      </c>
      <c r="C138" s="46" t="s">
        <v>617</v>
      </c>
      <c r="D138" s="46" t="str">
        <f t="shared" si="8"/>
        <v>504002_Short-term academic mobility programs and conferences</v>
      </c>
      <c r="E138" s="76">
        <v>500000</v>
      </c>
      <c r="F138" s="76" t="s">
        <v>581</v>
      </c>
      <c r="G138" s="76" t="s">
        <v>199</v>
      </c>
      <c r="H138" s="77" t="str">
        <f t="shared" si="9"/>
        <v>500000_Student cost</v>
      </c>
      <c r="I138" s="76">
        <v>504000</v>
      </c>
      <c r="J138" s="76" t="s">
        <v>614</v>
      </c>
      <c r="K138" s="76" t="s">
        <v>615</v>
      </c>
      <c r="L138" s="77" t="str">
        <f t="shared" si="10"/>
        <v>504000_Education activities</v>
      </c>
      <c r="M138" s="76" t="s">
        <v>308</v>
      </c>
      <c r="N138" s="78" t="s">
        <v>203</v>
      </c>
      <c r="O138" s="79" t="s">
        <v>203</v>
      </c>
      <c r="P138" s="79" t="s">
        <v>203</v>
      </c>
      <c r="Q138" s="79" t="s">
        <v>203</v>
      </c>
      <c r="R138" s="79" t="s">
        <v>203</v>
      </c>
      <c r="S138" s="79" t="s">
        <v>203</v>
      </c>
      <c r="T138" s="79" t="s">
        <v>203</v>
      </c>
      <c r="U138" s="79" t="s">
        <v>203</v>
      </c>
      <c r="V138" s="79" t="s">
        <v>203</v>
      </c>
      <c r="W138" s="79" t="s">
        <v>203</v>
      </c>
      <c r="X138" s="79" t="s">
        <v>203</v>
      </c>
      <c r="Y138" s="79" t="s">
        <v>203</v>
      </c>
      <c r="Z138" s="79" t="s">
        <v>203</v>
      </c>
      <c r="AA138" s="79" t="s">
        <v>203</v>
      </c>
      <c r="AB138" s="79" t="s">
        <v>203</v>
      </c>
      <c r="AC138" s="79" t="s">
        <v>203</v>
      </c>
      <c r="AD138" s="79" t="s">
        <v>203</v>
      </c>
      <c r="AE138" s="79" t="s">
        <v>203</v>
      </c>
      <c r="AF138" s="79" t="s">
        <v>203</v>
      </c>
      <c r="AG138" s="79" t="s">
        <v>203</v>
      </c>
      <c r="AH138" s="79" t="s">
        <v>203</v>
      </c>
      <c r="AI138" s="79" t="s">
        <v>203</v>
      </c>
      <c r="AJ138" s="79" t="s">
        <v>203</v>
      </c>
      <c r="AK138" s="79" t="s">
        <v>203</v>
      </c>
      <c r="AL138" s="79" t="s">
        <v>203</v>
      </c>
      <c r="AM138" s="79" t="s">
        <v>203</v>
      </c>
      <c r="AN138" s="79" t="s">
        <v>203</v>
      </c>
      <c r="AO138" s="79" t="s">
        <v>310</v>
      </c>
      <c r="AP138" s="79" t="s">
        <v>310</v>
      </c>
      <c r="AQ138" s="79" t="s">
        <v>310</v>
      </c>
      <c r="AR138" s="79" t="s">
        <v>310</v>
      </c>
      <c r="AS138" s="79" t="s">
        <v>203</v>
      </c>
      <c r="AT138" s="79" t="s">
        <v>310</v>
      </c>
      <c r="AU138" s="79" t="s">
        <v>310</v>
      </c>
      <c r="AV138" s="79" t="s">
        <v>310</v>
      </c>
      <c r="AW138" s="79" t="s">
        <v>310</v>
      </c>
      <c r="AX138" s="79" t="s">
        <v>310</v>
      </c>
      <c r="AY138" s="79" t="s">
        <v>310</v>
      </c>
      <c r="AZ138" s="79" t="s">
        <v>310</v>
      </c>
      <c r="BA138" s="79" t="s">
        <v>310</v>
      </c>
      <c r="BB138" s="79" t="s">
        <v>310</v>
      </c>
      <c r="BC138" s="79" t="s">
        <v>310</v>
      </c>
      <c r="BD138" s="79" t="s">
        <v>310</v>
      </c>
      <c r="BE138" s="79" t="s">
        <v>310</v>
      </c>
      <c r="BF138" s="79" t="s">
        <v>310</v>
      </c>
      <c r="BG138" s="79" t="s">
        <v>310</v>
      </c>
      <c r="BH138" s="79" t="s">
        <v>310</v>
      </c>
      <c r="BI138" s="79" t="s">
        <v>310</v>
      </c>
      <c r="BJ138" s="79" t="s">
        <v>310</v>
      </c>
    </row>
    <row r="139" spans="1:62" s="85" customFormat="1" x14ac:dyDescent="0.3">
      <c r="A139" s="43">
        <v>504003</v>
      </c>
      <c r="B139" s="44" t="s">
        <v>618</v>
      </c>
      <c r="C139" s="44" t="s">
        <v>619</v>
      </c>
      <c r="D139" s="44" t="str">
        <f t="shared" si="8"/>
        <v>504003_External lecturers and guests invitation expenses</v>
      </c>
      <c r="E139" s="81">
        <v>500000</v>
      </c>
      <c r="F139" s="81" t="s">
        <v>581</v>
      </c>
      <c r="G139" s="44" t="s">
        <v>199</v>
      </c>
      <c r="H139" s="44" t="str">
        <f t="shared" si="9"/>
        <v>500000_Student cost</v>
      </c>
      <c r="I139" s="81">
        <v>504000</v>
      </c>
      <c r="J139" s="81" t="s">
        <v>614</v>
      </c>
      <c r="K139" s="44" t="s">
        <v>615</v>
      </c>
      <c r="L139" s="44" t="str">
        <f t="shared" si="10"/>
        <v>504000_Education activities</v>
      </c>
      <c r="M139" s="82" t="s">
        <v>308</v>
      </c>
      <c r="N139" s="83" t="s">
        <v>203</v>
      </c>
      <c r="O139" s="84" t="s">
        <v>203</v>
      </c>
      <c r="P139" s="84" t="s">
        <v>203</v>
      </c>
      <c r="Q139" s="84" t="s">
        <v>203</v>
      </c>
      <c r="R139" s="84" t="s">
        <v>203</v>
      </c>
      <c r="S139" s="84" t="s">
        <v>203</v>
      </c>
      <c r="T139" s="84" t="s">
        <v>203</v>
      </c>
      <c r="U139" s="84" t="s">
        <v>203</v>
      </c>
      <c r="V139" s="84" t="s">
        <v>203</v>
      </c>
      <c r="W139" s="84" t="s">
        <v>203</v>
      </c>
      <c r="X139" s="84" t="s">
        <v>203</v>
      </c>
      <c r="Y139" s="84" t="s">
        <v>203</v>
      </c>
      <c r="Z139" s="84" t="s">
        <v>203</v>
      </c>
      <c r="AA139" s="84" t="s">
        <v>203</v>
      </c>
      <c r="AB139" s="84" t="s">
        <v>203</v>
      </c>
      <c r="AC139" s="84" t="s">
        <v>203</v>
      </c>
      <c r="AD139" s="84" t="s">
        <v>203</v>
      </c>
      <c r="AE139" s="84" t="s">
        <v>203</v>
      </c>
      <c r="AF139" s="84" t="s">
        <v>203</v>
      </c>
      <c r="AG139" s="84" t="s">
        <v>203</v>
      </c>
      <c r="AH139" s="84" t="s">
        <v>203</v>
      </c>
      <c r="AI139" s="84" t="s">
        <v>203</v>
      </c>
      <c r="AJ139" s="84" t="s">
        <v>203</v>
      </c>
      <c r="AK139" s="84" t="s">
        <v>203</v>
      </c>
      <c r="AL139" s="84" t="s">
        <v>203</v>
      </c>
      <c r="AM139" s="84" t="s">
        <v>203</v>
      </c>
      <c r="AN139" s="84" t="s">
        <v>203</v>
      </c>
      <c r="AO139" s="84" t="s">
        <v>310</v>
      </c>
      <c r="AP139" s="84" t="s">
        <v>310</v>
      </c>
      <c r="AQ139" s="84" t="s">
        <v>310</v>
      </c>
      <c r="AR139" s="84" t="s">
        <v>310</v>
      </c>
      <c r="AS139" s="84" t="s">
        <v>203</v>
      </c>
      <c r="AT139" s="84" t="s">
        <v>310</v>
      </c>
      <c r="AU139" s="84" t="s">
        <v>310</v>
      </c>
      <c r="AV139" s="84" t="s">
        <v>310</v>
      </c>
      <c r="AW139" s="84" t="s">
        <v>310</v>
      </c>
      <c r="AX139" s="84" t="s">
        <v>310</v>
      </c>
      <c r="AY139" s="84" t="s">
        <v>310</v>
      </c>
      <c r="AZ139" s="84" t="s">
        <v>310</v>
      </c>
      <c r="BA139" s="84" t="s">
        <v>310</v>
      </c>
      <c r="BB139" s="84" t="s">
        <v>310</v>
      </c>
      <c r="BC139" s="84" t="s">
        <v>310</v>
      </c>
      <c r="BD139" s="84" t="s">
        <v>310</v>
      </c>
      <c r="BE139" s="84" t="s">
        <v>310</v>
      </c>
      <c r="BF139" s="84" t="s">
        <v>310</v>
      </c>
      <c r="BG139" s="84" t="s">
        <v>310</v>
      </c>
      <c r="BH139" s="84" t="s">
        <v>310</v>
      </c>
      <c r="BI139" s="84" t="s">
        <v>310</v>
      </c>
      <c r="BJ139" s="84" t="s">
        <v>310</v>
      </c>
    </row>
    <row r="140" spans="1:62" s="80" customFormat="1" x14ac:dyDescent="0.3">
      <c r="A140" s="45">
        <v>504004</v>
      </c>
      <c r="B140" s="46" t="s">
        <v>620</v>
      </c>
      <c r="C140" s="46" t="s">
        <v>621</v>
      </c>
      <c r="D140" s="46" t="str">
        <f t="shared" si="8"/>
        <v>504004_Long-term academic mobility programs</v>
      </c>
      <c r="E140" s="76">
        <v>500000</v>
      </c>
      <c r="F140" s="76" t="s">
        <v>581</v>
      </c>
      <c r="G140" s="76" t="s">
        <v>199</v>
      </c>
      <c r="H140" s="77" t="str">
        <f t="shared" si="9"/>
        <v>500000_Student cost</v>
      </c>
      <c r="I140" s="76">
        <v>504000</v>
      </c>
      <c r="J140" s="76" t="s">
        <v>614</v>
      </c>
      <c r="K140" s="76" t="s">
        <v>615</v>
      </c>
      <c r="L140" s="77" t="str">
        <f t="shared" si="10"/>
        <v>504000_Education activities</v>
      </c>
      <c r="M140" s="76" t="s">
        <v>308</v>
      </c>
      <c r="N140" s="78" t="s">
        <v>203</v>
      </c>
      <c r="O140" s="79" t="s">
        <v>203</v>
      </c>
      <c r="P140" s="79" t="s">
        <v>203</v>
      </c>
      <c r="Q140" s="79" t="s">
        <v>203</v>
      </c>
      <c r="R140" s="79" t="s">
        <v>203</v>
      </c>
      <c r="S140" s="79" t="s">
        <v>203</v>
      </c>
      <c r="T140" s="79" t="s">
        <v>203</v>
      </c>
      <c r="U140" s="79" t="s">
        <v>203</v>
      </c>
      <c r="V140" s="79" t="s">
        <v>203</v>
      </c>
      <c r="W140" s="79" t="s">
        <v>203</v>
      </c>
      <c r="X140" s="79" t="s">
        <v>203</v>
      </c>
      <c r="Y140" s="79" t="s">
        <v>203</v>
      </c>
      <c r="Z140" s="79" t="s">
        <v>203</v>
      </c>
      <c r="AA140" s="79" t="s">
        <v>203</v>
      </c>
      <c r="AB140" s="79" t="s">
        <v>203</v>
      </c>
      <c r="AC140" s="79" t="s">
        <v>203</v>
      </c>
      <c r="AD140" s="79" t="s">
        <v>203</v>
      </c>
      <c r="AE140" s="79" t="s">
        <v>203</v>
      </c>
      <c r="AF140" s="79" t="s">
        <v>203</v>
      </c>
      <c r="AG140" s="79" t="s">
        <v>203</v>
      </c>
      <c r="AH140" s="79" t="s">
        <v>203</v>
      </c>
      <c r="AI140" s="79" t="s">
        <v>203</v>
      </c>
      <c r="AJ140" s="79" t="s">
        <v>203</v>
      </c>
      <c r="AK140" s="79" t="s">
        <v>203</v>
      </c>
      <c r="AL140" s="79" t="s">
        <v>203</v>
      </c>
      <c r="AM140" s="79" t="s">
        <v>203</v>
      </c>
      <c r="AN140" s="79" t="s">
        <v>203</v>
      </c>
      <c r="AO140" s="79" t="s">
        <v>310</v>
      </c>
      <c r="AP140" s="79" t="s">
        <v>310</v>
      </c>
      <c r="AQ140" s="79" t="s">
        <v>310</v>
      </c>
      <c r="AR140" s="79" t="s">
        <v>310</v>
      </c>
      <c r="AS140" s="79" t="s">
        <v>203</v>
      </c>
      <c r="AT140" s="79" t="s">
        <v>310</v>
      </c>
      <c r="AU140" s="79" t="s">
        <v>310</v>
      </c>
      <c r="AV140" s="79" t="s">
        <v>310</v>
      </c>
      <c r="AW140" s="79" t="s">
        <v>310</v>
      </c>
      <c r="AX140" s="79" t="s">
        <v>310</v>
      </c>
      <c r="AY140" s="79" t="s">
        <v>310</v>
      </c>
      <c r="AZ140" s="79" t="s">
        <v>310</v>
      </c>
      <c r="BA140" s="79" t="s">
        <v>310</v>
      </c>
      <c r="BB140" s="79" t="s">
        <v>310</v>
      </c>
      <c r="BC140" s="79" t="s">
        <v>310</v>
      </c>
      <c r="BD140" s="79" t="s">
        <v>310</v>
      </c>
      <c r="BE140" s="79" t="s">
        <v>310</v>
      </c>
      <c r="BF140" s="79" t="s">
        <v>310</v>
      </c>
      <c r="BG140" s="79" t="s">
        <v>310</v>
      </c>
      <c r="BH140" s="79" t="s">
        <v>310</v>
      </c>
      <c r="BI140" s="79" t="s">
        <v>310</v>
      </c>
      <c r="BJ140" s="79" t="s">
        <v>310</v>
      </c>
    </row>
    <row r="141" spans="1:62" s="85" customFormat="1" x14ac:dyDescent="0.3">
      <c r="A141" s="43">
        <v>504005</v>
      </c>
      <c r="B141" s="44" t="s">
        <v>622</v>
      </c>
      <c r="C141" s="44" t="s">
        <v>623</v>
      </c>
      <c r="D141" s="44" t="str">
        <f t="shared" si="8"/>
        <v>504005_External lecturers remuneration (PSA)</v>
      </c>
      <c r="E141" s="81">
        <v>500000</v>
      </c>
      <c r="F141" s="81" t="s">
        <v>581</v>
      </c>
      <c r="G141" s="44" t="s">
        <v>199</v>
      </c>
      <c r="H141" s="44" t="str">
        <f t="shared" si="9"/>
        <v>500000_Student cost</v>
      </c>
      <c r="I141" s="81">
        <v>504000</v>
      </c>
      <c r="J141" s="81" t="s">
        <v>614</v>
      </c>
      <c r="K141" s="44" t="s">
        <v>615</v>
      </c>
      <c r="L141" s="44" t="str">
        <f t="shared" si="10"/>
        <v>504000_Education activities</v>
      </c>
      <c r="M141" s="82" t="s">
        <v>308</v>
      </c>
      <c r="N141" s="83" t="s">
        <v>203</v>
      </c>
      <c r="O141" s="84" t="s">
        <v>203</v>
      </c>
      <c r="P141" s="84" t="s">
        <v>203</v>
      </c>
      <c r="Q141" s="84" t="s">
        <v>203</v>
      </c>
      <c r="R141" s="84" t="s">
        <v>203</v>
      </c>
      <c r="S141" s="84" t="s">
        <v>203</v>
      </c>
      <c r="T141" s="84" t="s">
        <v>203</v>
      </c>
      <c r="U141" s="84" t="s">
        <v>203</v>
      </c>
      <c r="V141" s="84" t="s">
        <v>203</v>
      </c>
      <c r="W141" s="84" t="s">
        <v>203</v>
      </c>
      <c r="X141" s="84" t="s">
        <v>203</v>
      </c>
      <c r="Y141" s="84" t="s">
        <v>203</v>
      </c>
      <c r="Z141" s="84" t="s">
        <v>203</v>
      </c>
      <c r="AA141" s="84" t="s">
        <v>203</v>
      </c>
      <c r="AB141" s="84" t="s">
        <v>203</v>
      </c>
      <c r="AC141" s="84" t="s">
        <v>203</v>
      </c>
      <c r="AD141" s="84" t="s">
        <v>203</v>
      </c>
      <c r="AE141" s="84" t="s">
        <v>203</v>
      </c>
      <c r="AF141" s="84" t="s">
        <v>203</v>
      </c>
      <c r="AG141" s="84" t="s">
        <v>203</v>
      </c>
      <c r="AH141" s="84" t="s">
        <v>203</v>
      </c>
      <c r="AI141" s="84" t="s">
        <v>203</v>
      </c>
      <c r="AJ141" s="84" t="s">
        <v>203</v>
      </c>
      <c r="AK141" s="84" t="s">
        <v>203</v>
      </c>
      <c r="AL141" s="84" t="s">
        <v>203</v>
      </c>
      <c r="AM141" s="84" t="s">
        <v>203</v>
      </c>
      <c r="AN141" s="84" t="s">
        <v>203</v>
      </c>
      <c r="AO141" s="84" t="s">
        <v>310</v>
      </c>
      <c r="AP141" s="84" t="s">
        <v>310</v>
      </c>
      <c r="AQ141" s="84" t="s">
        <v>310</v>
      </c>
      <c r="AR141" s="84" t="s">
        <v>310</v>
      </c>
      <c r="AS141" s="84" t="s">
        <v>203</v>
      </c>
      <c r="AT141" s="84" t="s">
        <v>310</v>
      </c>
      <c r="AU141" s="84" t="s">
        <v>310</v>
      </c>
      <c r="AV141" s="84" t="s">
        <v>310</v>
      </c>
      <c r="AW141" s="84" t="s">
        <v>310</v>
      </c>
      <c r="AX141" s="84" t="s">
        <v>310</v>
      </c>
      <c r="AY141" s="84" t="s">
        <v>310</v>
      </c>
      <c r="AZ141" s="84" t="s">
        <v>310</v>
      </c>
      <c r="BA141" s="84" t="s">
        <v>310</v>
      </c>
      <c r="BB141" s="84" t="s">
        <v>310</v>
      </c>
      <c r="BC141" s="84" t="s">
        <v>310</v>
      </c>
      <c r="BD141" s="84" t="s">
        <v>310</v>
      </c>
      <c r="BE141" s="84" t="s">
        <v>310</v>
      </c>
      <c r="BF141" s="84" t="s">
        <v>310</v>
      </c>
      <c r="BG141" s="84" t="s">
        <v>310</v>
      </c>
      <c r="BH141" s="84" t="s">
        <v>310</v>
      </c>
      <c r="BI141" s="84" t="s">
        <v>310</v>
      </c>
      <c r="BJ141" s="84" t="s">
        <v>310</v>
      </c>
    </row>
    <row r="142" spans="1:62" s="80" customFormat="1" x14ac:dyDescent="0.3">
      <c r="A142" s="45">
        <v>504006</v>
      </c>
      <c r="B142" s="46" t="s">
        <v>624</v>
      </c>
      <c r="C142" s="46" t="s">
        <v>625</v>
      </c>
      <c r="D142" s="46" t="str">
        <f t="shared" si="8"/>
        <v>504006_Teaching assistant remuneration (PSA)</v>
      </c>
      <c r="E142" s="76">
        <v>500000</v>
      </c>
      <c r="F142" s="76" t="s">
        <v>581</v>
      </c>
      <c r="G142" s="76" t="s">
        <v>199</v>
      </c>
      <c r="H142" s="77" t="str">
        <f t="shared" si="9"/>
        <v>500000_Student cost</v>
      </c>
      <c r="I142" s="76">
        <v>504000</v>
      </c>
      <c r="J142" s="76" t="s">
        <v>614</v>
      </c>
      <c r="K142" s="76" t="s">
        <v>615</v>
      </c>
      <c r="L142" s="77" t="str">
        <f t="shared" si="10"/>
        <v>504000_Education activities</v>
      </c>
      <c r="M142" s="76" t="s">
        <v>308</v>
      </c>
      <c r="N142" s="78" t="s">
        <v>203</v>
      </c>
      <c r="O142" s="79" t="s">
        <v>203</v>
      </c>
      <c r="P142" s="79" t="s">
        <v>203</v>
      </c>
      <c r="Q142" s="79" t="s">
        <v>203</v>
      </c>
      <c r="R142" s="79" t="s">
        <v>203</v>
      </c>
      <c r="S142" s="79" t="s">
        <v>203</v>
      </c>
      <c r="T142" s="79" t="s">
        <v>203</v>
      </c>
      <c r="U142" s="79" t="s">
        <v>203</v>
      </c>
      <c r="V142" s="79" t="s">
        <v>203</v>
      </c>
      <c r="W142" s="79" t="s">
        <v>203</v>
      </c>
      <c r="X142" s="79" t="s">
        <v>203</v>
      </c>
      <c r="Y142" s="79" t="s">
        <v>203</v>
      </c>
      <c r="Z142" s="79" t="s">
        <v>203</v>
      </c>
      <c r="AA142" s="79" t="s">
        <v>203</v>
      </c>
      <c r="AB142" s="79" t="s">
        <v>203</v>
      </c>
      <c r="AC142" s="79" t="s">
        <v>203</v>
      </c>
      <c r="AD142" s="79" t="s">
        <v>203</v>
      </c>
      <c r="AE142" s="79" t="s">
        <v>203</v>
      </c>
      <c r="AF142" s="79" t="s">
        <v>203</v>
      </c>
      <c r="AG142" s="79" t="s">
        <v>203</v>
      </c>
      <c r="AH142" s="79" t="s">
        <v>203</v>
      </c>
      <c r="AI142" s="79" t="s">
        <v>203</v>
      </c>
      <c r="AJ142" s="79" t="s">
        <v>203</v>
      </c>
      <c r="AK142" s="79" t="s">
        <v>203</v>
      </c>
      <c r="AL142" s="79" t="s">
        <v>203</v>
      </c>
      <c r="AM142" s="79" t="s">
        <v>203</v>
      </c>
      <c r="AN142" s="79" t="s">
        <v>203</v>
      </c>
      <c r="AO142" s="79" t="s">
        <v>310</v>
      </c>
      <c r="AP142" s="79" t="s">
        <v>310</v>
      </c>
      <c r="AQ142" s="79" t="s">
        <v>310</v>
      </c>
      <c r="AR142" s="79" t="s">
        <v>310</v>
      </c>
      <c r="AS142" s="79" t="s">
        <v>203</v>
      </c>
      <c r="AT142" s="79" t="s">
        <v>310</v>
      </c>
      <c r="AU142" s="79" t="s">
        <v>310</v>
      </c>
      <c r="AV142" s="79" t="s">
        <v>310</v>
      </c>
      <c r="AW142" s="79" t="s">
        <v>310</v>
      </c>
      <c r="AX142" s="79" t="s">
        <v>310</v>
      </c>
      <c r="AY142" s="79" t="s">
        <v>310</v>
      </c>
      <c r="AZ142" s="79" t="s">
        <v>310</v>
      </c>
      <c r="BA142" s="79" t="s">
        <v>310</v>
      </c>
      <c r="BB142" s="79" t="s">
        <v>310</v>
      </c>
      <c r="BC142" s="79" t="s">
        <v>310</v>
      </c>
      <c r="BD142" s="79" t="s">
        <v>310</v>
      </c>
      <c r="BE142" s="79" t="s">
        <v>310</v>
      </c>
      <c r="BF142" s="79" t="s">
        <v>310</v>
      </c>
      <c r="BG142" s="79" t="s">
        <v>310</v>
      </c>
      <c r="BH142" s="79" t="s">
        <v>310</v>
      </c>
      <c r="BI142" s="79" t="s">
        <v>310</v>
      </c>
      <c r="BJ142" s="79" t="s">
        <v>310</v>
      </c>
    </row>
    <row r="143" spans="1:62" s="85" customFormat="1" x14ac:dyDescent="0.3">
      <c r="A143" s="43">
        <v>599001</v>
      </c>
      <c r="B143" s="44" t="s">
        <v>626</v>
      </c>
      <c r="C143" s="44" t="s">
        <v>627</v>
      </c>
      <c r="D143" s="44" t="str">
        <f t="shared" si="8"/>
        <v>599001_Other students related expenses</v>
      </c>
      <c r="E143" s="81">
        <v>500000</v>
      </c>
      <c r="F143" s="81" t="s">
        <v>581</v>
      </c>
      <c r="G143" s="44" t="s">
        <v>199</v>
      </c>
      <c r="H143" s="44" t="str">
        <f t="shared" si="9"/>
        <v>500000_Student cost</v>
      </c>
      <c r="I143" s="81">
        <v>599000</v>
      </c>
      <c r="J143" s="81" t="s">
        <v>626</v>
      </c>
      <c r="K143" s="44" t="s">
        <v>627</v>
      </c>
      <c r="L143" s="44" t="str">
        <f t="shared" si="10"/>
        <v>599000_Other students related expenses</v>
      </c>
      <c r="M143" s="82" t="s">
        <v>308</v>
      </c>
      <c r="N143" s="83" t="s">
        <v>203</v>
      </c>
      <c r="O143" s="84" t="s">
        <v>203</v>
      </c>
      <c r="P143" s="84" t="s">
        <v>203</v>
      </c>
      <c r="Q143" s="84" t="s">
        <v>203</v>
      </c>
      <c r="R143" s="84" t="s">
        <v>203</v>
      </c>
      <c r="S143" s="84" t="s">
        <v>203</v>
      </c>
      <c r="T143" s="84" t="s">
        <v>203</v>
      </c>
      <c r="U143" s="84" t="s">
        <v>203</v>
      </c>
      <c r="V143" s="84" t="s">
        <v>203</v>
      </c>
      <c r="W143" s="84" t="s">
        <v>203</v>
      </c>
      <c r="X143" s="84" t="s">
        <v>203</v>
      </c>
      <c r="Y143" s="84" t="s">
        <v>203</v>
      </c>
      <c r="Z143" s="84" t="s">
        <v>203</v>
      </c>
      <c r="AA143" s="84" t="s">
        <v>203</v>
      </c>
      <c r="AB143" s="84" t="s">
        <v>203</v>
      </c>
      <c r="AC143" s="84" t="s">
        <v>203</v>
      </c>
      <c r="AD143" s="84" t="s">
        <v>203</v>
      </c>
      <c r="AE143" s="84" t="s">
        <v>203</v>
      </c>
      <c r="AF143" s="84" t="s">
        <v>203</v>
      </c>
      <c r="AG143" s="84" t="s">
        <v>203</v>
      </c>
      <c r="AH143" s="84" t="s">
        <v>203</v>
      </c>
      <c r="AI143" s="84" t="s">
        <v>203</v>
      </c>
      <c r="AJ143" s="84" t="s">
        <v>203</v>
      </c>
      <c r="AK143" s="84" t="s">
        <v>203</v>
      </c>
      <c r="AL143" s="84" t="s">
        <v>203</v>
      </c>
      <c r="AM143" s="84" t="s">
        <v>203</v>
      </c>
      <c r="AN143" s="84" t="s">
        <v>203</v>
      </c>
      <c r="AO143" s="84" t="s">
        <v>310</v>
      </c>
      <c r="AP143" s="84" t="s">
        <v>310</v>
      </c>
      <c r="AQ143" s="84" t="s">
        <v>310</v>
      </c>
      <c r="AR143" s="84" t="s">
        <v>310</v>
      </c>
      <c r="AS143" s="84" t="s">
        <v>203</v>
      </c>
      <c r="AT143" s="84" t="s">
        <v>310</v>
      </c>
      <c r="AU143" s="84" t="s">
        <v>310</v>
      </c>
      <c r="AV143" s="84" t="s">
        <v>310</v>
      </c>
      <c r="AW143" s="84" t="s">
        <v>310</v>
      </c>
      <c r="AX143" s="84" t="s">
        <v>310</v>
      </c>
      <c r="AY143" s="84" t="s">
        <v>310</v>
      </c>
      <c r="AZ143" s="84" t="s">
        <v>310</v>
      </c>
      <c r="BA143" s="84" t="s">
        <v>310</v>
      </c>
      <c r="BB143" s="84" t="s">
        <v>310</v>
      </c>
      <c r="BC143" s="84" t="s">
        <v>310</v>
      </c>
      <c r="BD143" s="84" t="s">
        <v>310</v>
      </c>
      <c r="BE143" s="84" t="s">
        <v>310</v>
      </c>
      <c r="BF143" s="84" t="s">
        <v>310</v>
      </c>
      <c r="BG143" s="84" t="s">
        <v>310</v>
      </c>
      <c r="BH143" s="84" t="s">
        <v>310</v>
      </c>
      <c r="BI143" s="84" t="s">
        <v>310</v>
      </c>
      <c r="BJ143" s="84" t="s">
        <v>310</v>
      </c>
    </row>
    <row r="144" spans="1:62" s="80" customFormat="1" x14ac:dyDescent="0.3">
      <c r="A144" s="45">
        <v>601001</v>
      </c>
      <c r="B144" s="46" t="s">
        <v>628</v>
      </c>
      <c r="C144" s="46" t="s">
        <v>629</v>
      </c>
      <c r="D144" s="46" t="str">
        <f t="shared" si="8"/>
        <v>601001_Value added tax</v>
      </c>
      <c r="E144" s="76">
        <v>600000</v>
      </c>
      <c r="F144" s="76" t="s">
        <v>240</v>
      </c>
      <c r="G144" s="76" t="s">
        <v>200</v>
      </c>
      <c r="H144" s="77" t="str">
        <f t="shared" si="9"/>
        <v>600000_Finance expenses</v>
      </c>
      <c r="I144" s="76">
        <v>601000</v>
      </c>
      <c r="J144" s="76" t="s">
        <v>630</v>
      </c>
      <c r="K144" s="76" t="s">
        <v>631</v>
      </c>
      <c r="L144" s="77" t="str">
        <f t="shared" si="10"/>
        <v>601000_Taxes and charges</v>
      </c>
      <c r="M144" s="76" t="s">
        <v>308</v>
      </c>
      <c r="N144" s="78" t="s">
        <v>203</v>
      </c>
      <c r="O144" s="79" t="s">
        <v>310</v>
      </c>
      <c r="P144" s="79" t="s">
        <v>310</v>
      </c>
      <c r="Q144" s="79" t="s">
        <v>310</v>
      </c>
      <c r="R144" s="79" t="s">
        <v>310</v>
      </c>
      <c r="S144" s="79" t="s">
        <v>310</v>
      </c>
      <c r="T144" s="79" t="s">
        <v>310</v>
      </c>
      <c r="U144" s="79" t="s">
        <v>310</v>
      </c>
      <c r="V144" s="79" t="s">
        <v>310</v>
      </c>
      <c r="W144" s="79" t="s">
        <v>310</v>
      </c>
      <c r="X144" s="79" t="s">
        <v>310</v>
      </c>
      <c r="Y144" s="79" t="s">
        <v>310</v>
      </c>
      <c r="Z144" s="79" t="s">
        <v>310</v>
      </c>
      <c r="AA144" s="79" t="s">
        <v>310</v>
      </c>
      <c r="AB144" s="79" t="s">
        <v>310</v>
      </c>
      <c r="AC144" s="79" t="s">
        <v>310</v>
      </c>
      <c r="AD144" s="79" t="s">
        <v>310</v>
      </c>
      <c r="AE144" s="79" t="s">
        <v>310</v>
      </c>
      <c r="AF144" s="79" t="s">
        <v>310</v>
      </c>
      <c r="AG144" s="79" t="s">
        <v>310</v>
      </c>
      <c r="AH144" s="79" t="s">
        <v>310</v>
      </c>
      <c r="AI144" s="79" t="s">
        <v>310</v>
      </c>
      <c r="AJ144" s="79" t="s">
        <v>310</v>
      </c>
      <c r="AK144" s="79" t="s">
        <v>310</v>
      </c>
      <c r="AL144" s="79" t="s">
        <v>310</v>
      </c>
      <c r="AM144" s="79" t="s">
        <v>310</v>
      </c>
      <c r="AN144" s="79" t="s">
        <v>310</v>
      </c>
      <c r="AO144" s="79" t="s">
        <v>310</v>
      </c>
      <c r="AP144" s="79" t="s">
        <v>310</v>
      </c>
      <c r="AQ144" s="79" t="s">
        <v>310</v>
      </c>
      <c r="AR144" s="79" t="s">
        <v>310</v>
      </c>
      <c r="AS144" s="79" t="s">
        <v>310</v>
      </c>
      <c r="AT144" s="79" t="s">
        <v>310</v>
      </c>
      <c r="AU144" s="79" t="s">
        <v>310</v>
      </c>
      <c r="AV144" s="79" t="s">
        <v>310</v>
      </c>
      <c r="AW144" s="79" t="s">
        <v>310</v>
      </c>
      <c r="AX144" s="79" t="s">
        <v>310</v>
      </c>
      <c r="AY144" s="79" t="s">
        <v>310</v>
      </c>
      <c r="AZ144" s="79" t="s">
        <v>310</v>
      </c>
      <c r="BA144" s="79" t="s">
        <v>310</v>
      </c>
      <c r="BB144" s="79" t="s">
        <v>310</v>
      </c>
      <c r="BC144" s="79" t="s">
        <v>310</v>
      </c>
      <c r="BD144" s="79" t="s">
        <v>310</v>
      </c>
      <c r="BE144" s="79" t="s">
        <v>310</v>
      </c>
      <c r="BF144" s="79" t="s">
        <v>310</v>
      </c>
      <c r="BG144" s="79" t="s">
        <v>310</v>
      </c>
      <c r="BH144" s="79" t="s">
        <v>310</v>
      </c>
      <c r="BI144" s="79" t="s">
        <v>310</v>
      </c>
      <c r="BJ144" s="79" t="s">
        <v>310</v>
      </c>
    </row>
    <row r="145" spans="1:62" s="85" customFormat="1" x14ac:dyDescent="0.3">
      <c r="A145" s="43">
        <v>601002</v>
      </c>
      <c r="B145" s="44" t="s">
        <v>632</v>
      </c>
      <c r="C145" s="44" t="s">
        <v>633</v>
      </c>
      <c r="D145" s="44" t="str">
        <f t="shared" si="8"/>
        <v>601002_Corporate income tax</v>
      </c>
      <c r="E145" s="81">
        <v>600000</v>
      </c>
      <c r="F145" s="81" t="s">
        <v>240</v>
      </c>
      <c r="G145" s="44" t="s">
        <v>200</v>
      </c>
      <c r="H145" s="44" t="str">
        <f t="shared" si="9"/>
        <v>600000_Finance expenses</v>
      </c>
      <c r="I145" s="81">
        <v>601000</v>
      </c>
      <c r="J145" s="81" t="s">
        <v>630</v>
      </c>
      <c r="K145" s="44" t="s">
        <v>631</v>
      </c>
      <c r="L145" s="44" t="str">
        <f t="shared" si="10"/>
        <v>601000_Taxes and charges</v>
      </c>
      <c r="M145" s="82" t="s">
        <v>308</v>
      </c>
      <c r="N145" s="83" t="s">
        <v>203</v>
      </c>
      <c r="O145" s="84" t="s">
        <v>310</v>
      </c>
      <c r="P145" s="84" t="s">
        <v>310</v>
      </c>
      <c r="Q145" s="84" t="s">
        <v>310</v>
      </c>
      <c r="R145" s="84" t="s">
        <v>310</v>
      </c>
      <c r="S145" s="84" t="s">
        <v>310</v>
      </c>
      <c r="T145" s="84" t="s">
        <v>310</v>
      </c>
      <c r="U145" s="84" t="s">
        <v>310</v>
      </c>
      <c r="V145" s="84" t="s">
        <v>310</v>
      </c>
      <c r="W145" s="84" t="s">
        <v>310</v>
      </c>
      <c r="X145" s="84" t="s">
        <v>310</v>
      </c>
      <c r="Y145" s="84" t="s">
        <v>310</v>
      </c>
      <c r="Z145" s="84" t="s">
        <v>310</v>
      </c>
      <c r="AA145" s="84" t="s">
        <v>310</v>
      </c>
      <c r="AB145" s="84" t="s">
        <v>310</v>
      </c>
      <c r="AC145" s="84" t="s">
        <v>310</v>
      </c>
      <c r="AD145" s="84" t="s">
        <v>310</v>
      </c>
      <c r="AE145" s="84" t="s">
        <v>310</v>
      </c>
      <c r="AF145" s="84" t="s">
        <v>310</v>
      </c>
      <c r="AG145" s="84" t="s">
        <v>310</v>
      </c>
      <c r="AH145" s="84" t="s">
        <v>310</v>
      </c>
      <c r="AI145" s="84" t="s">
        <v>310</v>
      </c>
      <c r="AJ145" s="84" t="s">
        <v>310</v>
      </c>
      <c r="AK145" s="84" t="s">
        <v>310</v>
      </c>
      <c r="AL145" s="84" t="s">
        <v>310</v>
      </c>
      <c r="AM145" s="84" t="s">
        <v>310</v>
      </c>
      <c r="AN145" s="84" t="s">
        <v>310</v>
      </c>
      <c r="AO145" s="84" t="s">
        <v>310</v>
      </c>
      <c r="AP145" s="84" t="s">
        <v>310</v>
      </c>
      <c r="AQ145" s="84" t="s">
        <v>310</v>
      </c>
      <c r="AR145" s="84" t="s">
        <v>310</v>
      </c>
      <c r="AS145" s="84" t="s">
        <v>310</v>
      </c>
      <c r="AT145" s="84" t="s">
        <v>310</v>
      </c>
      <c r="AU145" s="84" t="s">
        <v>310</v>
      </c>
      <c r="AV145" s="84" t="s">
        <v>310</v>
      </c>
      <c r="AW145" s="84" t="s">
        <v>310</v>
      </c>
      <c r="AX145" s="84" t="s">
        <v>310</v>
      </c>
      <c r="AY145" s="84" t="s">
        <v>310</v>
      </c>
      <c r="AZ145" s="84" t="s">
        <v>310</v>
      </c>
      <c r="BA145" s="84" t="s">
        <v>310</v>
      </c>
      <c r="BB145" s="84" t="s">
        <v>310</v>
      </c>
      <c r="BC145" s="84" t="s">
        <v>310</v>
      </c>
      <c r="BD145" s="84" t="s">
        <v>310</v>
      </c>
      <c r="BE145" s="84" t="s">
        <v>310</v>
      </c>
      <c r="BF145" s="84" t="s">
        <v>310</v>
      </c>
      <c r="BG145" s="84" t="s">
        <v>310</v>
      </c>
      <c r="BH145" s="84" t="s">
        <v>310</v>
      </c>
      <c r="BI145" s="84" t="s">
        <v>310</v>
      </c>
      <c r="BJ145" s="84" t="s">
        <v>310</v>
      </c>
    </row>
    <row r="146" spans="1:62" s="80" customFormat="1" x14ac:dyDescent="0.3">
      <c r="A146" s="45">
        <v>601003</v>
      </c>
      <c r="B146" s="46" t="s">
        <v>634</v>
      </c>
      <c r="C146" s="46" t="s">
        <v>635</v>
      </c>
      <c r="D146" s="46" t="str">
        <f t="shared" si="8"/>
        <v>601003_Property tax</v>
      </c>
      <c r="E146" s="76">
        <v>600000</v>
      </c>
      <c r="F146" s="76" t="s">
        <v>240</v>
      </c>
      <c r="G146" s="76" t="s">
        <v>200</v>
      </c>
      <c r="H146" s="77" t="str">
        <f t="shared" si="9"/>
        <v>600000_Finance expenses</v>
      </c>
      <c r="I146" s="76">
        <v>601000</v>
      </c>
      <c r="J146" s="76" t="s">
        <v>630</v>
      </c>
      <c r="K146" s="76" t="s">
        <v>631</v>
      </c>
      <c r="L146" s="77" t="str">
        <f t="shared" si="10"/>
        <v>601000_Taxes and charges</v>
      </c>
      <c r="M146" s="76" t="s">
        <v>308</v>
      </c>
      <c r="N146" s="78" t="s">
        <v>203</v>
      </c>
      <c r="O146" s="79" t="s">
        <v>310</v>
      </c>
      <c r="P146" s="79" t="s">
        <v>310</v>
      </c>
      <c r="Q146" s="79" t="s">
        <v>310</v>
      </c>
      <c r="R146" s="79" t="s">
        <v>310</v>
      </c>
      <c r="S146" s="79" t="s">
        <v>310</v>
      </c>
      <c r="T146" s="79" t="s">
        <v>310</v>
      </c>
      <c r="U146" s="79" t="s">
        <v>310</v>
      </c>
      <c r="V146" s="79" t="s">
        <v>310</v>
      </c>
      <c r="W146" s="79" t="s">
        <v>310</v>
      </c>
      <c r="X146" s="79" t="s">
        <v>310</v>
      </c>
      <c r="Y146" s="79" t="s">
        <v>310</v>
      </c>
      <c r="Z146" s="79" t="s">
        <v>310</v>
      </c>
      <c r="AA146" s="79" t="s">
        <v>310</v>
      </c>
      <c r="AB146" s="79" t="s">
        <v>310</v>
      </c>
      <c r="AC146" s="79" t="s">
        <v>310</v>
      </c>
      <c r="AD146" s="79" t="s">
        <v>310</v>
      </c>
      <c r="AE146" s="79" t="s">
        <v>310</v>
      </c>
      <c r="AF146" s="79" t="s">
        <v>310</v>
      </c>
      <c r="AG146" s="79" t="s">
        <v>310</v>
      </c>
      <c r="AH146" s="79" t="s">
        <v>310</v>
      </c>
      <c r="AI146" s="79" t="s">
        <v>310</v>
      </c>
      <c r="AJ146" s="79" t="s">
        <v>310</v>
      </c>
      <c r="AK146" s="79" t="s">
        <v>310</v>
      </c>
      <c r="AL146" s="79" t="s">
        <v>310</v>
      </c>
      <c r="AM146" s="79" t="s">
        <v>310</v>
      </c>
      <c r="AN146" s="79" t="s">
        <v>310</v>
      </c>
      <c r="AO146" s="79" t="s">
        <v>310</v>
      </c>
      <c r="AP146" s="79" t="s">
        <v>310</v>
      </c>
      <c r="AQ146" s="79" t="s">
        <v>310</v>
      </c>
      <c r="AR146" s="79" t="s">
        <v>310</v>
      </c>
      <c r="AS146" s="79" t="s">
        <v>310</v>
      </c>
      <c r="AT146" s="79" t="s">
        <v>310</v>
      </c>
      <c r="AU146" s="79" t="s">
        <v>310</v>
      </c>
      <c r="AV146" s="79" t="s">
        <v>310</v>
      </c>
      <c r="AW146" s="79" t="s">
        <v>310</v>
      </c>
      <c r="AX146" s="79" t="s">
        <v>310</v>
      </c>
      <c r="AY146" s="79" t="s">
        <v>310</v>
      </c>
      <c r="AZ146" s="79" t="s">
        <v>310</v>
      </c>
      <c r="BA146" s="79" t="s">
        <v>310</v>
      </c>
      <c r="BB146" s="79" t="s">
        <v>310</v>
      </c>
      <c r="BC146" s="79" t="s">
        <v>310</v>
      </c>
      <c r="BD146" s="79" t="s">
        <v>310</v>
      </c>
      <c r="BE146" s="79" t="s">
        <v>310</v>
      </c>
      <c r="BF146" s="79" t="s">
        <v>310</v>
      </c>
      <c r="BG146" s="79" t="s">
        <v>310</v>
      </c>
      <c r="BH146" s="79" t="s">
        <v>310</v>
      </c>
      <c r="BI146" s="79" t="s">
        <v>310</v>
      </c>
      <c r="BJ146" s="79" t="s">
        <v>310</v>
      </c>
    </row>
    <row r="147" spans="1:62" s="85" customFormat="1" x14ac:dyDescent="0.3">
      <c r="A147" s="43">
        <v>601004</v>
      </c>
      <c r="B147" s="44" t="s">
        <v>636</v>
      </c>
      <c r="C147" s="44" t="s">
        <v>637</v>
      </c>
      <c r="D147" s="44" t="str">
        <f t="shared" si="8"/>
        <v>601004_State duties</v>
      </c>
      <c r="E147" s="81">
        <v>600000</v>
      </c>
      <c r="F147" s="81" t="s">
        <v>240</v>
      </c>
      <c r="G147" s="44" t="s">
        <v>200</v>
      </c>
      <c r="H147" s="44" t="str">
        <f t="shared" si="9"/>
        <v>600000_Finance expenses</v>
      </c>
      <c r="I147" s="81">
        <v>601000</v>
      </c>
      <c r="J147" s="81" t="s">
        <v>630</v>
      </c>
      <c r="K147" s="44" t="s">
        <v>631</v>
      </c>
      <c r="L147" s="44" t="str">
        <f t="shared" si="10"/>
        <v>601000_Taxes and charges</v>
      </c>
      <c r="M147" s="82" t="s">
        <v>308</v>
      </c>
      <c r="N147" s="83" t="s">
        <v>203</v>
      </c>
      <c r="O147" s="84" t="s">
        <v>310</v>
      </c>
      <c r="P147" s="84" t="s">
        <v>310</v>
      </c>
      <c r="Q147" s="84" t="s">
        <v>310</v>
      </c>
      <c r="R147" s="84" t="s">
        <v>310</v>
      </c>
      <c r="S147" s="84" t="s">
        <v>310</v>
      </c>
      <c r="T147" s="84" t="s">
        <v>310</v>
      </c>
      <c r="U147" s="84" t="s">
        <v>310</v>
      </c>
      <c r="V147" s="84" t="s">
        <v>310</v>
      </c>
      <c r="W147" s="84" t="s">
        <v>310</v>
      </c>
      <c r="X147" s="84" t="s">
        <v>310</v>
      </c>
      <c r="Y147" s="84" t="s">
        <v>310</v>
      </c>
      <c r="Z147" s="84" t="s">
        <v>310</v>
      </c>
      <c r="AA147" s="84" t="s">
        <v>310</v>
      </c>
      <c r="AB147" s="84" t="s">
        <v>310</v>
      </c>
      <c r="AC147" s="84" t="s">
        <v>310</v>
      </c>
      <c r="AD147" s="84" t="s">
        <v>310</v>
      </c>
      <c r="AE147" s="84" t="s">
        <v>310</v>
      </c>
      <c r="AF147" s="84" t="s">
        <v>310</v>
      </c>
      <c r="AG147" s="84" t="s">
        <v>310</v>
      </c>
      <c r="AH147" s="84" t="s">
        <v>310</v>
      </c>
      <c r="AI147" s="84" t="s">
        <v>310</v>
      </c>
      <c r="AJ147" s="84" t="s">
        <v>310</v>
      </c>
      <c r="AK147" s="84" t="s">
        <v>310</v>
      </c>
      <c r="AL147" s="84" t="s">
        <v>310</v>
      </c>
      <c r="AM147" s="84" t="s">
        <v>310</v>
      </c>
      <c r="AN147" s="84" t="s">
        <v>310</v>
      </c>
      <c r="AO147" s="84" t="s">
        <v>310</v>
      </c>
      <c r="AP147" s="84" t="s">
        <v>310</v>
      </c>
      <c r="AQ147" s="84" t="s">
        <v>310</v>
      </c>
      <c r="AR147" s="84" t="s">
        <v>310</v>
      </c>
      <c r="AS147" s="84" t="s">
        <v>310</v>
      </c>
      <c r="AT147" s="84" t="s">
        <v>310</v>
      </c>
      <c r="AU147" s="84" t="s">
        <v>310</v>
      </c>
      <c r="AV147" s="84" t="s">
        <v>310</v>
      </c>
      <c r="AW147" s="84" t="s">
        <v>310</v>
      </c>
      <c r="AX147" s="84" t="s">
        <v>310</v>
      </c>
      <c r="AY147" s="84" t="s">
        <v>310</v>
      </c>
      <c r="AZ147" s="84" t="s">
        <v>310</v>
      </c>
      <c r="BA147" s="84" t="s">
        <v>310</v>
      </c>
      <c r="BB147" s="84" t="s">
        <v>310</v>
      </c>
      <c r="BC147" s="84" t="s">
        <v>310</v>
      </c>
      <c r="BD147" s="84" t="s">
        <v>310</v>
      </c>
      <c r="BE147" s="84" t="s">
        <v>310</v>
      </c>
      <c r="BF147" s="84" t="s">
        <v>310</v>
      </c>
      <c r="BG147" s="84" t="s">
        <v>310</v>
      </c>
      <c r="BH147" s="84" t="s">
        <v>310</v>
      </c>
      <c r="BI147" s="84" t="s">
        <v>310</v>
      </c>
      <c r="BJ147" s="84" t="s">
        <v>310</v>
      </c>
    </row>
    <row r="148" spans="1:62" s="80" customFormat="1" x14ac:dyDescent="0.3">
      <c r="A148" s="45">
        <v>601005</v>
      </c>
      <c r="B148" s="46" t="s">
        <v>638</v>
      </c>
      <c r="C148" s="46" t="s">
        <v>639</v>
      </c>
      <c r="D148" s="46" t="str">
        <f t="shared" si="8"/>
        <v>601005_Penalties</v>
      </c>
      <c r="E148" s="76">
        <v>600000</v>
      </c>
      <c r="F148" s="76" t="s">
        <v>240</v>
      </c>
      <c r="G148" s="76" t="s">
        <v>200</v>
      </c>
      <c r="H148" s="77" t="str">
        <f t="shared" si="9"/>
        <v>600000_Finance expenses</v>
      </c>
      <c r="I148" s="76">
        <v>601000</v>
      </c>
      <c r="J148" s="76" t="s">
        <v>630</v>
      </c>
      <c r="K148" s="76" t="s">
        <v>631</v>
      </c>
      <c r="L148" s="77" t="str">
        <f t="shared" si="10"/>
        <v>601000_Taxes and charges</v>
      </c>
      <c r="M148" s="76" t="s">
        <v>350</v>
      </c>
      <c r="N148" s="78" t="s">
        <v>203</v>
      </c>
      <c r="O148" s="79" t="s">
        <v>310</v>
      </c>
      <c r="P148" s="79" t="s">
        <v>310</v>
      </c>
      <c r="Q148" s="79" t="s">
        <v>310</v>
      </c>
      <c r="R148" s="79" t="s">
        <v>310</v>
      </c>
      <c r="S148" s="79" t="s">
        <v>310</v>
      </c>
      <c r="T148" s="79" t="s">
        <v>310</v>
      </c>
      <c r="U148" s="79" t="s">
        <v>310</v>
      </c>
      <c r="V148" s="79" t="s">
        <v>310</v>
      </c>
      <c r="W148" s="79" t="s">
        <v>310</v>
      </c>
      <c r="X148" s="79" t="s">
        <v>310</v>
      </c>
      <c r="Y148" s="79" t="s">
        <v>310</v>
      </c>
      <c r="Z148" s="79" t="s">
        <v>310</v>
      </c>
      <c r="AA148" s="79" t="s">
        <v>310</v>
      </c>
      <c r="AB148" s="79" t="s">
        <v>310</v>
      </c>
      <c r="AC148" s="79" t="s">
        <v>310</v>
      </c>
      <c r="AD148" s="79" t="s">
        <v>310</v>
      </c>
      <c r="AE148" s="79" t="s">
        <v>310</v>
      </c>
      <c r="AF148" s="79" t="s">
        <v>310</v>
      </c>
      <c r="AG148" s="79" t="s">
        <v>310</v>
      </c>
      <c r="AH148" s="79" t="s">
        <v>310</v>
      </c>
      <c r="AI148" s="79" t="s">
        <v>310</v>
      </c>
      <c r="AJ148" s="79" t="s">
        <v>310</v>
      </c>
      <c r="AK148" s="79" t="s">
        <v>310</v>
      </c>
      <c r="AL148" s="79" t="s">
        <v>310</v>
      </c>
      <c r="AM148" s="79" t="s">
        <v>310</v>
      </c>
      <c r="AN148" s="79" t="s">
        <v>310</v>
      </c>
      <c r="AO148" s="79" t="s">
        <v>310</v>
      </c>
      <c r="AP148" s="79" t="s">
        <v>310</v>
      </c>
      <c r="AQ148" s="79" t="s">
        <v>310</v>
      </c>
      <c r="AR148" s="79" t="s">
        <v>310</v>
      </c>
      <c r="AS148" s="79" t="s">
        <v>310</v>
      </c>
      <c r="AT148" s="79" t="s">
        <v>310</v>
      </c>
      <c r="AU148" s="79" t="s">
        <v>310</v>
      </c>
      <c r="AV148" s="79" t="s">
        <v>310</v>
      </c>
      <c r="AW148" s="79" t="s">
        <v>310</v>
      </c>
      <c r="AX148" s="79" t="s">
        <v>310</v>
      </c>
      <c r="AY148" s="79" t="s">
        <v>310</v>
      </c>
      <c r="AZ148" s="79" t="s">
        <v>310</v>
      </c>
      <c r="BA148" s="79" t="s">
        <v>310</v>
      </c>
      <c r="BB148" s="79" t="s">
        <v>310</v>
      </c>
      <c r="BC148" s="79" t="s">
        <v>310</v>
      </c>
      <c r="BD148" s="79" t="s">
        <v>310</v>
      </c>
      <c r="BE148" s="79" t="s">
        <v>310</v>
      </c>
      <c r="BF148" s="79" t="s">
        <v>310</v>
      </c>
      <c r="BG148" s="79" t="s">
        <v>310</v>
      </c>
      <c r="BH148" s="79" t="s">
        <v>310</v>
      </c>
      <c r="BI148" s="79" t="s">
        <v>310</v>
      </c>
      <c r="BJ148" s="79" t="s">
        <v>310</v>
      </c>
    </row>
    <row r="149" spans="1:62" s="85" customFormat="1" x14ac:dyDescent="0.3">
      <c r="A149" s="43">
        <v>601006</v>
      </c>
      <c r="B149" s="44" t="s">
        <v>640</v>
      </c>
      <c r="C149" s="44" t="s">
        <v>641</v>
      </c>
      <c r="D149" s="44" t="str">
        <f t="shared" si="8"/>
        <v>601006_Late payment fee</v>
      </c>
      <c r="E149" s="81">
        <v>600000</v>
      </c>
      <c r="F149" s="81" t="s">
        <v>240</v>
      </c>
      <c r="G149" s="44" t="s">
        <v>200</v>
      </c>
      <c r="H149" s="44" t="str">
        <f t="shared" si="9"/>
        <v>600000_Finance expenses</v>
      </c>
      <c r="I149" s="81">
        <v>601000</v>
      </c>
      <c r="J149" s="81" t="s">
        <v>630</v>
      </c>
      <c r="K149" s="44" t="s">
        <v>631</v>
      </c>
      <c r="L149" s="44" t="str">
        <f t="shared" si="10"/>
        <v>601000_Taxes and charges</v>
      </c>
      <c r="M149" s="82" t="s">
        <v>350</v>
      </c>
      <c r="N149" s="83" t="s">
        <v>203</v>
      </c>
      <c r="O149" s="84" t="s">
        <v>310</v>
      </c>
      <c r="P149" s="84" t="s">
        <v>310</v>
      </c>
      <c r="Q149" s="84" t="s">
        <v>310</v>
      </c>
      <c r="R149" s="84" t="s">
        <v>310</v>
      </c>
      <c r="S149" s="84" t="s">
        <v>310</v>
      </c>
      <c r="T149" s="84" t="s">
        <v>310</v>
      </c>
      <c r="U149" s="84" t="s">
        <v>310</v>
      </c>
      <c r="V149" s="84" t="s">
        <v>310</v>
      </c>
      <c r="W149" s="84" t="s">
        <v>310</v>
      </c>
      <c r="X149" s="84" t="s">
        <v>310</v>
      </c>
      <c r="Y149" s="84" t="s">
        <v>310</v>
      </c>
      <c r="Z149" s="84" t="s">
        <v>310</v>
      </c>
      <c r="AA149" s="84" t="s">
        <v>310</v>
      </c>
      <c r="AB149" s="84" t="s">
        <v>310</v>
      </c>
      <c r="AC149" s="84" t="s">
        <v>310</v>
      </c>
      <c r="AD149" s="84" t="s">
        <v>310</v>
      </c>
      <c r="AE149" s="84" t="s">
        <v>310</v>
      </c>
      <c r="AF149" s="84" t="s">
        <v>310</v>
      </c>
      <c r="AG149" s="84" t="s">
        <v>310</v>
      </c>
      <c r="AH149" s="84" t="s">
        <v>310</v>
      </c>
      <c r="AI149" s="84" t="s">
        <v>310</v>
      </c>
      <c r="AJ149" s="84" t="s">
        <v>310</v>
      </c>
      <c r="AK149" s="84" t="s">
        <v>310</v>
      </c>
      <c r="AL149" s="84" t="s">
        <v>310</v>
      </c>
      <c r="AM149" s="84" t="s">
        <v>310</v>
      </c>
      <c r="AN149" s="84" t="s">
        <v>310</v>
      </c>
      <c r="AO149" s="84" t="s">
        <v>310</v>
      </c>
      <c r="AP149" s="84" t="s">
        <v>310</v>
      </c>
      <c r="AQ149" s="84" t="s">
        <v>310</v>
      </c>
      <c r="AR149" s="84" t="s">
        <v>310</v>
      </c>
      <c r="AS149" s="84" t="s">
        <v>310</v>
      </c>
      <c r="AT149" s="84" t="s">
        <v>310</v>
      </c>
      <c r="AU149" s="84" t="s">
        <v>310</v>
      </c>
      <c r="AV149" s="84" t="s">
        <v>310</v>
      </c>
      <c r="AW149" s="84" t="s">
        <v>310</v>
      </c>
      <c r="AX149" s="84" t="s">
        <v>310</v>
      </c>
      <c r="AY149" s="84" t="s">
        <v>310</v>
      </c>
      <c r="AZ149" s="84" t="s">
        <v>310</v>
      </c>
      <c r="BA149" s="84" t="s">
        <v>310</v>
      </c>
      <c r="BB149" s="84" t="s">
        <v>310</v>
      </c>
      <c r="BC149" s="84" t="s">
        <v>310</v>
      </c>
      <c r="BD149" s="84" t="s">
        <v>310</v>
      </c>
      <c r="BE149" s="84" t="s">
        <v>310</v>
      </c>
      <c r="BF149" s="84" t="s">
        <v>310</v>
      </c>
      <c r="BG149" s="84" t="s">
        <v>310</v>
      </c>
      <c r="BH149" s="84" t="s">
        <v>310</v>
      </c>
      <c r="BI149" s="84" t="s">
        <v>310</v>
      </c>
      <c r="BJ149" s="84" t="s">
        <v>310</v>
      </c>
    </row>
    <row r="150" spans="1:62" s="80" customFormat="1" x14ac:dyDescent="0.3">
      <c r="A150" s="45">
        <v>601999</v>
      </c>
      <c r="B150" s="46" t="s">
        <v>642</v>
      </c>
      <c r="C150" s="46" t="s">
        <v>643</v>
      </c>
      <c r="D150" s="46" t="str">
        <f t="shared" si="8"/>
        <v>601999_Taxes - other</v>
      </c>
      <c r="E150" s="76">
        <v>600000</v>
      </c>
      <c r="F150" s="76" t="s">
        <v>240</v>
      </c>
      <c r="G150" s="76" t="s">
        <v>200</v>
      </c>
      <c r="H150" s="77" t="str">
        <f t="shared" si="9"/>
        <v>600000_Finance expenses</v>
      </c>
      <c r="I150" s="76">
        <v>601000</v>
      </c>
      <c r="J150" s="76" t="s">
        <v>630</v>
      </c>
      <c r="K150" s="76" t="s">
        <v>631</v>
      </c>
      <c r="L150" s="77" t="str">
        <f t="shared" si="10"/>
        <v>601000_Taxes and charges</v>
      </c>
      <c r="M150" s="76" t="s">
        <v>308</v>
      </c>
      <c r="N150" s="78" t="s">
        <v>203</v>
      </c>
      <c r="O150" s="79" t="s">
        <v>310</v>
      </c>
      <c r="P150" s="79" t="s">
        <v>310</v>
      </c>
      <c r="Q150" s="79" t="s">
        <v>310</v>
      </c>
      <c r="R150" s="79" t="s">
        <v>310</v>
      </c>
      <c r="S150" s="79" t="s">
        <v>310</v>
      </c>
      <c r="T150" s="79" t="s">
        <v>310</v>
      </c>
      <c r="U150" s="79" t="s">
        <v>310</v>
      </c>
      <c r="V150" s="79" t="s">
        <v>310</v>
      </c>
      <c r="W150" s="79" t="s">
        <v>310</v>
      </c>
      <c r="X150" s="79" t="s">
        <v>310</v>
      </c>
      <c r="Y150" s="79" t="s">
        <v>310</v>
      </c>
      <c r="Z150" s="79" t="s">
        <v>310</v>
      </c>
      <c r="AA150" s="79" t="s">
        <v>310</v>
      </c>
      <c r="AB150" s="79" t="s">
        <v>310</v>
      </c>
      <c r="AC150" s="79" t="s">
        <v>310</v>
      </c>
      <c r="AD150" s="79" t="s">
        <v>310</v>
      </c>
      <c r="AE150" s="79" t="s">
        <v>310</v>
      </c>
      <c r="AF150" s="79" t="s">
        <v>310</v>
      </c>
      <c r="AG150" s="79" t="s">
        <v>310</v>
      </c>
      <c r="AH150" s="79" t="s">
        <v>310</v>
      </c>
      <c r="AI150" s="79" t="s">
        <v>310</v>
      </c>
      <c r="AJ150" s="79" t="s">
        <v>310</v>
      </c>
      <c r="AK150" s="79" t="s">
        <v>310</v>
      </c>
      <c r="AL150" s="79" t="s">
        <v>310</v>
      </c>
      <c r="AM150" s="79" t="s">
        <v>310</v>
      </c>
      <c r="AN150" s="79" t="s">
        <v>310</v>
      </c>
      <c r="AO150" s="79" t="s">
        <v>310</v>
      </c>
      <c r="AP150" s="79" t="s">
        <v>310</v>
      </c>
      <c r="AQ150" s="79" t="s">
        <v>310</v>
      </c>
      <c r="AR150" s="79" t="s">
        <v>310</v>
      </c>
      <c r="AS150" s="79" t="s">
        <v>310</v>
      </c>
      <c r="AT150" s="79" t="s">
        <v>310</v>
      </c>
      <c r="AU150" s="79" t="s">
        <v>310</v>
      </c>
      <c r="AV150" s="79" t="s">
        <v>310</v>
      </c>
      <c r="AW150" s="79" t="s">
        <v>310</v>
      </c>
      <c r="AX150" s="79" t="s">
        <v>310</v>
      </c>
      <c r="AY150" s="79" t="s">
        <v>310</v>
      </c>
      <c r="AZ150" s="79" t="s">
        <v>310</v>
      </c>
      <c r="BA150" s="79" t="s">
        <v>310</v>
      </c>
      <c r="BB150" s="79" t="s">
        <v>310</v>
      </c>
      <c r="BC150" s="79" t="s">
        <v>310</v>
      </c>
      <c r="BD150" s="79" t="s">
        <v>310</v>
      </c>
      <c r="BE150" s="79" t="s">
        <v>310</v>
      </c>
      <c r="BF150" s="79" t="s">
        <v>310</v>
      </c>
      <c r="BG150" s="79" t="s">
        <v>310</v>
      </c>
      <c r="BH150" s="79" t="s">
        <v>310</v>
      </c>
      <c r="BI150" s="79" t="s">
        <v>310</v>
      </c>
      <c r="BJ150" s="79" t="s">
        <v>310</v>
      </c>
    </row>
    <row r="151" spans="1:62" s="85" customFormat="1" x14ac:dyDescent="0.3">
      <c r="A151" s="43">
        <v>602001</v>
      </c>
      <c r="B151" s="44" t="s">
        <v>644</v>
      </c>
      <c r="C151" s="44" t="s">
        <v>645</v>
      </c>
      <c r="D151" s="44" t="str">
        <f t="shared" si="8"/>
        <v>602001_Bank commission</v>
      </c>
      <c r="E151" s="81">
        <v>600000</v>
      </c>
      <c r="F151" s="81" t="s">
        <v>240</v>
      </c>
      <c r="G151" s="44" t="s">
        <v>200</v>
      </c>
      <c r="H151" s="44" t="str">
        <f t="shared" si="9"/>
        <v>600000_Finance expenses</v>
      </c>
      <c r="I151" s="81">
        <v>602000</v>
      </c>
      <c r="J151" s="81" t="s">
        <v>646</v>
      </c>
      <c r="K151" s="44" t="s">
        <v>647</v>
      </c>
      <c r="L151" s="44" t="str">
        <f t="shared" si="10"/>
        <v>602000_Other expenses</v>
      </c>
      <c r="M151" s="82" t="s">
        <v>308</v>
      </c>
      <c r="N151" s="83" t="s">
        <v>203</v>
      </c>
      <c r="O151" s="84" t="s">
        <v>310</v>
      </c>
      <c r="P151" s="84" t="s">
        <v>310</v>
      </c>
      <c r="Q151" s="84" t="s">
        <v>310</v>
      </c>
      <c r="R151" s="84" t="s">
        <v>310</v>
      </c>
      <c r="S151" s="84" t="s">
        <v>310</v>
      </c>
      <c r="T151" s="84" t="s">
        <v>310</v>
      </c>
      <c r="U151" s="84" t="s">
        <v>310</v>
      </c>
      <c r="V151" s="84" t="s">
        <v>310</v>
      </c>
      <c r="W151" s="84" t="s">
        <v>310</v>
      </c>
      <c r="X151" s="84" t="s">
        <v>310</v>
      </c>
      <c r="Y151" s="84" t="s">
        <v>310</v>
      </c>
      <c r="Z151" s="84" t="s">
        <v>310</v>
      </c>
      <c r="AA151" s="84" t="s">
        <v>310</v>
      </c>
      <c r="AB151" s="84" t="s">
        <v>310</v>
      </c>
      <c r="AC151" s="84" t="s">
        <v>310</v>
      </c>
      <c r="AD151" s="84" t="s">
        <v>310</v>
      </c>
      <c r="AE151" s="84" t="s">
        <v>310</v>
      </c>
      <c r="AF151" s="84" t="s">
        <v>310</v>
      </c>
      <c r="AG151" s="84" t="s">
        <v>310</v>
      </c>
      <c r="AH151" s="84" t="s">
        <v>310</v>
      </c>
      <c r="AI151" s="84" t="s">
        <v>310</v>
      </c>
      <c r="AJ151" s="84" t="s">
        <v>310</v>
      </c>
      <c r="AK151" s="84" t="s">
        <v>310</v>
      </c>
      <c r="AL151" s="84" t="s">
        <v>310</v>
      </c>
      <c r="AM151" s="84" t="s">
        <v>310</v>
      </c>
      <c r="AN151" s="84" t="s">
        <v>310</v>
      </c>
      <c r="AO151" s="84" t="s">
        <v>310</v>
      </c>
      <c r="AP151" s="84" t="s">
        <v>310</v>
      </c>
      <c r="AQ151" s="84" t="s">
        <v>310</v>
      </c>
      <c r="AR151" s="84" t="s">
        <v>310</v>
      </c>
      <c r="AS151" s="84" t="s">
        <v>310</v>
      </c>
      <c r="AT151" s="84" t="s">
        <v>310</v>
      </c>
      <c r="AU151" s="84" t="s">
        <v>310</v>
      </c>
      <c r="AV151" s="84" t="s">
        <v>310</v>
      </c>
      <c r="AW151" s="84" t="s">
        <v>310</v>
      </c>
      <c r="AX151" s="84" t="s">
        <v>310</v>
      </c>
      <c r="AY151" s="84" t="s">
        <v>310</v>
      </c>
      <c r="AZ151" s="84" t="s">
        <v>310</v>
      </c>
      <c r="BA151" s="84" t="s">
        <v>310</v>
      </c>
      <c r="BB151" s="84" t="s">
        <v>310</v>
      </c>
      <c r="BC151" s="84" t="s">
        <v>310</v>
      </c>
      <c r="BD151" s="84" t="s">
        <v>310</v>
      </c>
      <c r="BE151" s="84" t="s">
        <v>310</v>
      </c>
      <c r="BF151" s="84" t="s">
        <v>310</v>
      </c>
      <c r="BG151" s="84" t="s">
        <v>310</v>
      </c>
      <c r="BH151" s="84" t="s">
        <v>310</v>
      </c>
      <c r="BI151" s="84" t="s">
        <v>310</v>
      </c>
      <c r="BJ151" s="84" t="s">
        <v>310</v>
      </c>
    </row>
    <row r="152" spans="1:62" s="80" customFormat="1" x14ac:dyDescent="0.3">
      <c r="A152" s="45">
        <v>602002</v>
      </c>
      <c r="B152" s="46" t="s">
        <v>648</v>
      </c>
      <c r="C152" s="46" t="s">
        <v>649</v>
      </c>
      <c r="D152" s="46" t="str">
        <f t="shared" si="8"/>
        <v>602002_FOREX loss</v>
      </c>
      <c r="E152" s="76">
        <v>600000</v>
      </c>
      <c r="F152" s="76" t="s">
        <v>240</v>
      </c>
      <c r="G152" s="76" t="s">
        <v>200</v>
      </c>
      <c r="H152" s="77" t="str">
        <f t="shared" si="9"/>
        <v>600000_Finance expenses</v>
      </c>
      <c r="I152" s="76">
        <v>602000</v>
      </c>
      <c r="J152" s="76" t="s">
        <v>646</v>
      </c>
      <c r="K152" s="76" t="s">
        <v>647</v>
      </c>
      <c r="L152" s="77" t="str">
        <f t="shared" si="10"/>
        <v>602000_Other expenses</v>
      </c>
      <c r="M152" s="76" t="s">
        <v>350</v>
      </c>
      <c r="N152" s="78" t="s">
        <v>203</v>
      </c>
      <c r="O152" s="79" t="s">
        <v>310</v>
      </c>
      <c r="P152" s="79" t="s">
        <v>310</v>
      </c>
      <c r="Q152" s="79" t="s">
        <v>310</v>
      </c>
      <c r="R152" s="79" t="s">
        <v>310</v>
      </c>
      <c r="S152" s="79" t="s">
        <v>310</v>
      </c>
      <c r="T152" s="79" t="s">
        <v>310</v>
      </c>
      <c r="U152" s="79" t="s">
        <v>310</v>
      </c>
      <c r="V152" s="79" t="s">
        <v>310</v>
      </c>
      <c r="W152" s="79" t="s">
        <v>310</v>
      </c>
      <c r="X152" s="79" t="s">
        <v>310</v>
      </c>
      <c r="Y152" s="79" t="s">
        <v>310</v>
      </c>
      <c r="Z152" s="79" t="s">
        <v>310</v>
      </c>
      <c r="AA152" s="79" t="s">
        <v>310</v>
      </c>
      <c r="AB152" s="79" t="s">
        <v>310</v>
      </c>
      <c r="AC152" s="79" t="s">
        <v>310</v>
      </c>
      <c r="AD152" s="79" t="s">
        <v>310</v>
      </c>
      <c r="AE152" s="79" t="s">
        <v>310</v>
      </c>
      <c r="AF152" s="79" t="s">
        <v>310</v>
      </c>
      <c r="AG152" s="79" t="s">
        <v>310</v>
      </c>
      <c r="AH152" s="79" t="s">
        <v>310</v>
      </c>
      <c r="AI152" s="79" t="s">
        <v>310</v>
      </c>
      <c r="AJ152" s="79" t="s">
        <v>310</v>
      </c>
      <c r="AK152" s="79" t="s">
        <v>310</v>
      </c>
      <c r="AL152" s="79" t="s">
        <v>310</v>
      </c>
      <c r="AM152" s="79" t="s">
        <v>310</v>
      </c>
      <c r="AN152" s="79" t="s">
        <v>310</v>
      </c>
      <c r="AO152" s="79" t="s">
        <v>310</v>
      </c>
      <c r="AP152" s="79" t="s">
        <v>310</v>
      </c>
      <c r="AQ152" s="79" t="s">
        <v>310</v>
      </c>
      <c r="AR152" s="79" t="s">
        <v>310</v>
      </c>
      <c r="AS152" s="79" t="s">
        <v>310</v>
      </c>
      <c r="AT152" s="79" t="s">
        <v>310</v>
      </c>
      <c r="AU152" s="79" t="s">
        <v>310</v>
      </c>
      <c r="AV152" s="79" t="s">
        <v>310</v>
      </c>
      <c r="AW152" s="79" t="s">
        <v>310</v>
      </c>
      <c r="AX152" s="79" t="s">
        <v>310</v>
      </c>
      <c r="AY152" s="79" t="s">
        <v>310</v>
      </c>
      <c r="AZ152" s="79" t="s">
        <v>310</v>
      </c>
      <c r="BA152" s="79" t="s">
        <v>310</v>
      </c>
      <c r="BB152" s="79" t="s">
        <v>310</v>
      </c>
      <c r="BC152" s="79" t="s">
        <v>310</v>
      </c>
      <c r="BD152" s="79" t="s">
        <v>310</v>
      </c>
      <c r="BE152" s="79" t="s">
        <v>310</v>
      </c>
      <c r="BF152" s="79" t="s">
        <v>310</v>
      </c>
      <c r="BG152" s="79" t="s">
        <v>310</v>
      </c>
      <c r="BH152" s="79" t="s">
        <v>310</v>
      </c>
      <c r="BI152" s="79" t="s">
        <v>310</v>
      </c>
      <c r="BJ152" s="79" t="s">
        <v>310</v>
      </c>
    </row>
    <row r="153" spans="1:62" s="85" customFormat="1" x14ac:dyDescent="0.3">
      <c r="A153" s="43">
        <v>602003</v>
      </c>
      <c r="B153" s="44" t="s">
        <v>650</v>
      </c>
      <c r="C153" s="44" t="s">
        <v>651</v>
      </c>
      <c r="D153" s="44" t="str">
        <f t="shared" si="8"/>
        <v>602003_Collaterals for guarantees</v>
      </c>
      <c r="E153" s="81">
        <v>600000</v>
      </c>
      <c r="F153" s="81" t="s">
        <v>240</v>
      </c>
      <c r="G153" s="44" t="s">
        <v>200</v>
      </c>
      <c r="H153" s="44" t="str">
        <f t="shared" si="9"/>
        <v>600000_Finance expenses</v>
      </c>
      <c r="I153" s="81">
        <v>602000</v>
      </c>
      <c r="J153" s="81" t="s">
        <v>646</v>
      </c>
      <c r="K153" s="44" t="s">
        <v>647</v>
      </c>
      <c r="L153" s="44" t="str">
        <f t="shared" si="10"/>
        <v>602000_Other expenses</v>
      </c>
      <c r="M153" s="82" t="s">
        <v>350</v>
      </c>
      <c r="N153" s="83" t="s">
        <v>203</v>
      </c>
      <c r="O153" s="84" t="s">
        <v>310</v>
      </c>
      <c r="P153" s="84" t="s">
        <v>310</v>
      </c>
      <c r="Q153" s="84" t="s">
        <v>310</v>
      </c>
      <c r="R153" s="84" t="s">
        <v>310</v>
      </c>
      <c r="S153" s="84" t="s">
        <v>310</v>
      </c>
      <c r="T153" s="84" t="s">
        <v>310</v>
      </c>
      <c r="U153" s="84" t="s">
        <v>310</v>
      </c>
      <c r="V153" s="84" t="s">
        <v>310</v>
      </c>
      <c r="W153" s="84" t="s">
        <v>310</v>
      </c>
      <c r="X153" s="84" t="s">
        <v>310</v>
      </c>
      <c r="Y153" s="84" t="s">
        <v>310</v>
      </c>
      <c r="Z153" s="84" t="s">
        <v>310</v>
      </c>
      <c r="AA153" s="84" t="s">
        <v>310</v>
      </c>
      <c r="AB153" s="84" t="s">
        <v>310</v>
      </c>
      <c r="AC153" s="84" t="s">
        <v>310</v>
      </c>
      <c r="AD153" s="84" t="s">
        <v>310</v>
      </c>
      <c r="AE153" s="84" t="s">
        <v>310</v>
      </c>
      <c r="AF153" s="84" t="s">
        <v>310</v>
      </c>
      <c r="AG153" s="84" t="s">
        <v>310</v>
      </c>
      <c r="AH153" s="84" t="s">
        <v>310</v>
      </c>
      <c r="AI153" s="84" t="s">
        <v>310</v>
      </c>
      <c r="AJ153" s="84" t="s">
        <v>310</v>
      </c>
      <c r="AK153" s="84" t="s">
        <v>310</v>
      </c>
      <c r="AL153" s="84" t="s">
        <v>310</v>
      </c>
      <c r="AM153" s="84" t="s">
        <v>310</v>
      </c>
      <c r="AN153" s="84" t="s">
        <v>310</v>
      </c>
      <c r="AO153" s="84" t="s">
        <v>310</v>
      </c>
      <c r="AP153" s="84" t="s">
        <v>310</v>
      </c>
      <c r="AQ153" s="84" t="s">
        <v>310</v>
      </c>
      <c r="AR153" s="84" t="s">
        <v>310</v>
      </c>
      <c r="AS153" s="84" t="s">
        <v>310</v>
      </c>
      <c r="AT153" s="84" t="s">
        <v>310</v>
      </c>
      <c r="AU153" s="84" t="s">
        <v>310</v>
      </c>
      <c r="AV153" s="84" t="s">
        <v>310</v>
      </c>
      <c r="AW153" s="84" t="s">
        <v>310</v>
      </c>
      <c r="AX153" s="84" t="s">
        <v>310</v>
      </c>
      <c r="AY153" s="84" t="s">
        <v>310</v>
      </c>
      <c r="AZ153" s="84" t="s">
        <v>310</v>
      </c>
      <c r="BA153" s="84" t="s">
        <v>310</v>
      </c>
      <c r="BB153" s="84" t="s">
        <v>310</v>
      </c>
      <c r="BC153" s="84" t="s">
        <v>310</v>
      </c>
      <c r="BD153" s="84" t="s">
        <v>310</v>
      </c>
      <c r="BE153" s="84" t="s">
        <v>310</v>
      </c>
      <c r="BF153" s="84" t="s">
        <v>310</v>
      </c>
      <c r="BG153" s="84" t="s">
        <v>310</v>
      </c>
      <c r="BH153" s="84" t="s">
        <v>310</v>
      </c>
      <c r="BI153" s="84" t="s">
        <v>310</v>
      </c>
      <c r="BJ153" s="84" t="s">
        <v>310</v>
      </c>
    </row>
    <row r="154" spans="1:62" s="80" customFormat="1" x14ac:dyDescent="0.3">
      <c r="A154" s="45">
        <v>602004</v>
      </c>
      <c r="B154" s="46" t="s">
        <v>652</v>
      </c>
      <c r="C154" s="46" t="s">
        <v>653</v>
      </c>
      <c r="D154" s="46" t="str">
        <f t="shared" si="8"/>
        <v>602004_Write-offs of FAs, inventory, AR</v>
      </c>
      <c r="E154" s="76">
        <v>600000</v>
      </c>
      <c r="F154" s="76" t="s">
        <v>240</v>
      </c>
      <c r="G154" s="76" t="s">
        <v>200</v>
      </c>
      <c r="H154" s="77" t="str">
        <f t="shared" si="9"/>
        <v>600000_Finance expenses</v>
      </c>
      <c r="I154" s="76">
        <v>602000</v>
      </c>
      <c r="J154" s="76" t="s">
        <v>646</v>
      </c>
      <c r="K154" s="76" t="s">
        <v>647</v>
      </c>
      <c r="L154" s="77" t="str">
        <f t="shared" si="10"/>
        <v>602000_Other expenses</v>
      </c>
      <c r="M154" s="76" t="s">
        <v>350</v>
      </c>
      <c r="N154" s="78" t="s">
        <v>203</v>
      </c>
      <c r="O154" s="79" t="s">
        <v>310</v>
      </c>
      <c r="P154" s="79" t="s">
        <v>310</v>
      </c>
      <c r="Q154" s="79" t="s">
        <v>310</v>
      </c>
      <c r="R154" s="79" t="s">
        <v>310</v>
      </c>
      <c r="S154" s="79" t="s">
        <v>310</v>
      </c>
      <c r="T154" s="79" t="s">
        <v>310</v>
      </c>
      <c r="U154" s="79" t="s">
        <v>310</v>
      </c>
      <c r="V154" s="79" t="s">
        <v>310</v>
      </c>
      <c r="W154" s="79" t="s">
        <v>310</v>
      </c>
      <c r="X154" s="79" t="s">
        <v>310</v>
      </c>
      <c r="Y154" s="79" t="s">
        <v>310</v>
      </c>
      <c r="Z154" s="79" t="s">
        <v>310</v>
      </c>
      <c r="AA154" s="79" t="s">
        <v>310</v>
      </c>
      <c r="AB154" s="79" t="s">
        <v>310</v>
      </c>
      <c r="AC154" s="79" t="s">
        <v>310</v>
      </c>
      <c r="AD154" s="79" t="s">
        <v>310</v>
      </c>
      <c r="AE154" s="79" t="s">
        <v>310</v>
      </c>
      <c r="AF154" s="79" t="s">
        <v>310</v>
      </c>
      <c r="AG154" s="79" t="s">
        <v>310</v>
      </c>
      <c r="AH154" s="79" t="s">
        <v>310</v>
      </c>
      <c r="AI154" s="79" t="s">
        <v>310</v>
      </c>
      <c r="AJ154" s="79" t="s">
        <v>310</v>
      </c>
      <c r="AK154" s="79" t="s">
        <v>310</v>
      </c>
      <c r="AL154" s="79" t="s">
        <v>310</v>
      </c>
      <c r="AM154" s="79" t="s">
        <v>310</v>
      </c>
      <c r="AN154" s="79" t="s">
        <v>310</v>
      </c>
      <c r="AO154" s="79" t="s">
        <v>310</v>
      </c>
      <c r="AP154" s="79" t="s">
        <v>310</v>
      </c>
      <c r="AQ154" s="79" t="s">
        <v>310</v>
      </c>
      <c r="AR154" s="79" t="s">
        <v>310</v>
      </c>
      <c r="AS154" s="79" t="s">
        <v>310</v>
      </c>
      <c r="AT154" s="79" t="s">
        <v>310</v>
      </c>
      <c r="AU154" s="79" t="s">
        <v>310</v>
      </c>
      <c r="AV154" s="79" t="s">
        <v>310</v>
      </c>
      <c r="AW154" s="79" t="s">
        <v>310</v>
      </c>
      <c r="AX154" s="79" t="s">
        <v>310</v>
      </c>
      <c r="AY154" s="79" t="s">
        <v>310</v>
      </c>
      <c r="AZ154" s="79" t="s">
        <v>310</v>
      </c>
      <c r="BA154" s="79" t="s">
        <v>310</v>
      </c>
      <c r="BB154" s="79" t="s">
        <v>310</v>
      </c>
      <c r="BC154" s="79" t="s">
        <v>310</v>
      </c>
      <c r="BD154" s="79" t="s">
        <v>310</v>
      </c>
      <c r="BE154" s="79" t="s">
        <v>310</v>
      </c>
      <c r="BF154" s="79" t="s">
        <v>310</v>
      </c>
      <c r="BG154" s="79" t="s">
        <v>310</v>
      </c>
      <c r="BH154" s="79" t="s">
        <v>310</v>
      </c>
      <c r="BI154" s="79" t="s">
        <v>310</v>
      </c>
      <c r="BJ154" s="79" t="s">
        <v>310</v>
      </c>
    </row>
    <row r="155" spans="1:62" s="85" customFormat="1" x14ac:dyDescent="0.3">
      <c r="A155" s="43">
        <v>602005</v>
      </c>
      <c r="B155" s="44" t="s">
        <v>654</v>
      </c>
      <c r="C155" s="44" t="s">
        <v>655</v>
      </c>
      <c r="D155" s="44" t="str">
        <f t="shared" si="8"/>
        <v>602005_Unused vacation provision</v>
      </c>
      <c r="E155" s="81">
        <v>600000</v>
      </c>
      <c r="F155" s="81" t="s">
        <v>240</v>
      </c>
      <c r="G155" s="44" t="s">
        <v>200</v>
      </c>
      <c r="H155" s="44" t="str">
        <f t="shared" si="9"/>
        <v>600000_Finance expenses</v>
      </c>
      <c r="I155" s="81">
        <v>602000</v>
      </c>
      <c r="J155" s="81" t="s">
        <v>646</v>
      </c>
      <c r="K155" s="44" t="s">
        <v>647</v>
      </c>
      <c r="L155" s="44" t="str">
        <f t="shared" si="10"/>
        <v>602000_Other expenses</v>
      </c>
      <c r="M155" s="82" t="s">
        <v>308</v>
      </c>
      <c r="N155" s="83" t="s">
        <v>656</v>
      </c>
      <c r="O155" s="84" t="s">
        <v>310</v>
      </c>
      <c r="P155" s="84" t="s">
        <v>310</v>
      </c>
      <c r="Q155" s="84" t="s">
        <v>310</v>
      </c>
      <c r="R155" s="84" t="s">
        <v>310</v>
      </c>
      <c r="S155" s="84" t="s">
        <v>310</v>
      </c>
      <c r="T155" s="84" t="s">
        <v>310</v>
      </c>
      <c r="U155" s="84" t="s">
        <v>310</v>
      </c>
      <c r="V155" s="84" t="s">
        <v>310</v>
      </c>
      <c r="W155" s="84" t="s">
        <v>310</v>
      </c>
      <c r="X155" s="84" t="s">
        <v>310</v>
      </c>
      <c r="Y155" s="84" t="s">
        <v>310</v>
      </c>
      <c r="Z155" s="84" t="s">
        <v>310</v>
      </c>
      <c r="AA155" s="84" t="s">
        <v>310</v>
      </c>
      <c r="AB155" s="84" t="s">
        <v>310</v>
      </c>
      <c r="AC155" s="84" t="s">
        <v>310</v>
      </c>
      <c r="AD155" s="84" t="s">
        <v>310</v>
      </c>
      <c r="AE155" s="84" t="s">
        <v>310</v>
      </c>
      <c r="AF155" s="84" t="s">
        <v>310</v>
      </c>
      <c r="AG155" s="84" t="s">
        <v>310</v>
      </c>
      <c r="AH155" s="84" t="s">
        <v>310</v>
      </c>
      <c r="AI155" s="84" t="s">
        <v>310</v>
      </c>
      <c r="AJ155" s="84" t="s">
        <v>310</v>
      </c>
      <c r="AK155" s="84" t="s">
        <v>310</v>
      </c>
      <c r="AL155" s="84" t="s">
        <v>310</v>
      </c>
      <c r="AM155" s="84" t="s">
        <v>310</v>
      </c>
      <c r="AN155" s="84" t="s">
        <v>310</v>
      </c>
      <c r="AO155" s="84" t="s">
        <v>310</v>
      </c>
      <c r="AP155" s="84" t="s">
        <v>310</v>
      </c>
      <c r="AQ155" s="84" t="s">
        <v>310</v>
      </c>
      <c r="AR155" s="84" t="s">
        <v>310</v>
      </c>
      <c r="AS155" s="84" t="s">
        <v>310</v>
      </c>
      <c r="AT155" s="84" t="s">
        <v>310</v>
      </c>
      <c r="AU155" s="84" t="s">
        <v>310</v>
      </c>
      <c r="AV155" s="84" t="s">
        <v>310</v>
      </c>
      <c r="AW155" s="84" t="s">
        <v>310</v>
      </c>
      <c r="AX155" s="84" t="s">
        <v>310</v>
      </c>
      <c r="AY155" s="84" t="s">
        <v>310</v>
      </c>
      <c r="AZ155" s="84" t="s">
        <v>310</v>
      </c>
      <c r="BA155" s="84" t="s">
        <v>310</v>
      </c>
      <c r="BB155" s="84" t="s">
        <v>310</v>
      </c>
      <c r="BC155" s="84" t="s">
        <v>310</v>
      </c>
      <c r="BD155" s="84" t="s">
        <v>310</v>
      </c>
      <c r="BE155" s="84" t="s">
        <v>310</v>
      </c>
      <c r="BF155" s="84" t="s">
        <v>310</v>
      </c>
      <c r="BG155" s="84" t="s">
        <v>310</v>
      </c>
      <c r="BH155" s="84" t="s">
        <v>310</v>
      </c>
      <c r="BI155" s="84" t="s">
        <v>310</v>
      </c>
      <c r="BJ155" s="84" t="s">
        <v>310</v>
      </c>
    </row>
    <row r="156" spans="1:62" s="80" customFormat="1" x14ac:dyDescent="0.3">
      <c r="A156" s="45">
        <v>602999</v>
      </c>
      <c r="B156" s="46" t="s">
        <v>657</v>
      </c>
      <c r="C156" s="46" t="s">
        <v>658</v>
      </c>
      <c r="D156" s="46" t="str">
        <f t="shared" si="8"/>
        <v>602999_Other finance expenses</v>
      </c>
      <c r="E156" s="76">
        <v>600000</v>
      </c>
      <c r="F156" s="76" t="s">
        <v>240</v>
      </c>
      <c r="G156" s="76" t="s">
        <v>200</v>
      </c>
      <c r="H156" s="77" t="str">
        <f t="shared" si="9"/>
        <v>600000_Finance expenses</v>
      </c>
      <c r="I156" s="76">
        <v>602000</v>
      </c>
      <c r="J156" s="76" t="s">
        <v>646</v>
      </c>
      <c r="K156" s="76" t="s">
        <v>647</v>
      </c>
      <c r="L156" s="77" t="str">
        <f t="shared" si="10"/>
        <v>602000_Other expenses</v>
      </c>
      <c r="M156" s="76" t="s">
        <v>308</v>
      </c>
      <c r="N156" s="78" t="s">
        <v>203</v>
      </c>
      <c r="O156" s="79" t="s">
        <v>310</v>
      </c>
      <c r="P156" s="79" t="s">
        <v>310</v>
      </c>
      <c r="Q156" s="79" t="s">
        <v>310</v>
      </c>
      <c r="R156" s="79" t="s">
        <v>310</v>
      </c>
      <c r="S156" s="79" t="s">
        <v>310</v>
      </c>
      <c r="T156" s="79" t="s">
        <v>310</v>
      </c>
      <c r="U156" s="79" t="s">
        <v>310</v>
      </c>
      <c r="V156" s="79" t="s">
        <v>310</v>
      </c>
      <c r="W156" s="79" t="s">
        <v>310</v>
      </c>
      <c r="X156" s="79" t="s">
        <v>310</v>
      </c>
      <c r="Y156" s="79" t="s">
        <v>310</v>
      </c>
      <c r="Z156" s="79" t="s">
        <v>310</v>
      </c>
      <c r="AA156" s="79" t="s">
        <v>310</v>
      </c>
      <c r="AB156" s="79" t="s">
        <v>310</v>
      </c>
      <c r="AC156" s="79" t="s">
        <v>310</v>
      </c>
      <c r="AD156" s="79" t="s">
        <v>310</v>
      </c>
      <c r="AE156" s="79" t="s">
        <v>310</v>
      </c>
      <c r="AF156" s="79" t="s">
        <v>310</v>
      </c>
      <c r="AG156" s="79" t="s">
        <v>310</v>
      </c>
      <c r="AH156" s="79" t="s">
        <v>310</v>
      </c>
      <c r="AI156" s="79" t="s">
        <v>310</v>
      </c>
      <c r="AJ156" s="79" t="s">
        <v>310</v>
      </c>
      <c r="AK156" s="79" t="s">
        <v>310</v>
      </c>
      <c r="AL156" s="79" t="s">
        <v>310</v>
      </c>
      <c r="AM156" s="79" t="s">
        <v>310</v>
      </c>
      <c r="AN156" s="79" t="s">
        <v>310</v>
      </c>
      <c r="AO156" s="79" t="s">
        <v>310</v>
      </c>
      <c r="AP156" s="79" t="s">
        <v>310</v>
      </c>
      <c r="AQ156" s="79" t="s">
        <v>310</v>
      </c>
      <c r="AR156" s="79" t="s">
        <v>310</v>
      </c>
      <c r="AS156" s="79" t="s">
        <v>310</v>
      </c>
      <c r="AT156" s="79" t="s">
        <v>310</v>
      </c>
      <c r="AU156" s="79" t="s">
        <v>310</v>
      </c>
      <c r="AV156" s="79" t="s">
        <v>310</v>
      </c>
      <c r="AW156" s="79" t="s">
        <v>310</v>
      </c>
      <c r="AX156" s="79" t="s">
        <v>310</v>
      </c>
      <c r="AY156" s="79" t="s">
        <v>310</v>
      </c>
      <c r="AZ156" s="79" t="s">
        <v>310</v>
      </c>
      <c r="BA156" s="79" t="s">
        <v>310</v>
      </c>
      <c r="BB156" s="79" t="s">
        <v>310</v>
      </c>
      <c r="BC156" s="79" t="s">
        <v>310</v>
      </c>
      <c r="BD156" s="79" t="s">
        <v>310</v>
      </c>
      <c r="BE156" s="79" t="s">
        <v>310</v>
      </c>
      <c r="BF156" s="79" t="s">
        <v>310</v>
      </c>
      <c r="BG156" s="79" t="s">
        <v>310</v>
      </c>
      <c r="BH156" s="79" t="s">
        <v>310</v>
      </c>
      <c r="BI156" s="79" t="s">
        <v>310</v>
      </c>
      <c r="BJ156" s="79" t="s">
        <v>310</v>
      </c>
    </row>
    <row r="157" spans="1:62" s="85" customFormat="1" x14ac:dyDescent="0.3">
      <c r="A157" s="43">
        <v>699001</v>
      </c>
      <c r="B157" s="44" t="s">
        <v>659</v>
      </c>
      <c r="C157" s="44" t="s">
        <v>660</v>
      </c>
      <c r="D157" s="44" t="str">
        <f t="shared" si="8"/>
        <v>699001_Internal bank transfers</v>
      </c>
      <c r="E157" s="81">
        <v>600000</v>
      </c>
      <c r="F157" s="81" t="s">
        <v>240</v>
      </c>
      <c r="G157" s="44" t="s">
        <v>200</v>
      </c>
      <c r="H157" s="44" t="str">
        <f t="shared" si="9"/>
        <v>600000_Finance expenses</v>
      </c>
      <c r="I157" s="81">
        <v>699000</v>
      </c>
      <c r="J157" s="81" t="s">
        <v>241</v>
      </c>
      <c r="K157" s="44" t="s">
        <v>661</v>
      </c>
      <c r="L157" s="44" t="str">
        <f t="shared" si="10"/>
        <v>699000_Technical account</v>
      </c>
      <c r="M157" s="82" t="s">
        <v>350</v>
      </c>
      <c r="N157" s="83" t="s">
        <v>203</v>
      </c>
      <c r="O157" s="84" t="s">
        <v>310</v>
      </c>
      <c r="P157" s="84" t="s">
        <v>310</v>
      </c>
      <c r="Q157" s="84" t="s">
        <v>310</v>
      </c>
      <c r="R157" s="84" t="s">
        <v>310</v>
      </c>
      <c r="S157" s="84" t="s">
        <v>310</v>
      </c>
      <c r="T157" s="84" t="s">
        <v>310</v>
      </c>
      <c r="U157" s="84" t="s">
        <v>310</v>
      </c>
      <c r="V157" s="84" t="s">
        <v>310</v>
      </c>
      <c r="W157" s="84" t="s">
        <v>310</v>
      </c>
      <c r="X157" s="84" t="s">
        <v>310</v>
      </c>
      <c r="Y157" s="84" t="s">
        <v>310</v>
      </c>
      <c r="Z157" s="84" t="s">
        <v>310</v>
      </c>
      <c r="AA157" s="84" t="s">
        <v>310</v>
      </c>
      <c r="AB157" s="84" t="s">
        <v>310</v>
      </c>
      <c r="AC157" s="84" t="s">
        <v>310</v>
      </c>
      <c r="AD157" s="84" t="s">
        <v>310</v>
      </c>
      <c r="AE157" s="84" t="s">
        <v>310</v>
      </c>
      <c r="AF157" s="84" t="s">
        <v>310</v>
      </c>
      <c r="AG157" s="84" t="s">
        <v>310</v>
      </c>
      <c r="AH157" s="84" t="s">
        <v>310</v>
      </c>
      <c r="AI157" s="84" t="s">
        <v>310</v>
      </c>
      <c r="AJ157" s="84" t="s">
        <v>310</v>
      </c>
      <c r="AK157" s="84" t="s">
        <v>310</v>
      </c>
      <c r="AL157" s="84" t="s">
        <v>310</v>
      </c>
      <c r="AM157" s="84" t="s">
        <v>310</v>
      </c>
      <c r="AN157" s="84" t="s">
        <v>310</v>
      </c>
      <c r="AO157" s="84" t="s">
        <v>310</v>
      </c>
      <c r="AP157" s="84" t="s">
        <v>310</v>
      </c>
      <c r="AQ157" s="84" t="s">
        <v>310</v>
      </c>
      <c r="AR157" s="84" t="s">
        <v>310</v>
      </c>
      <c r="AS157" s="84" t="s">
        <v>310</v>
      </c>
      <c r="AT157" s="84" t="s">
        <v>310</v>
      </c>
      <c r="AU157" s="84" t="s">
        <v>310</v>
      </c>
      <c r="AV157" s="84" t="s">
        <v>310</v>
      </c>
      <c r="AW157" s="84" t="s">
        <v>310</v>
      </c>
      <c r="AX157" s="84" t="s">
        <v>310</v>
      </c>
      <c r="AY157" s="84" t="s">
        <v>310</v>
      </c>
      <c r="AZ157" s="84" t="s">
        <v>310</v>
      </c>
      <c r="BA157" s="84" t="s">
        <v>310</v>
      </c>
      <c r="BB157" s="84" t="s">
        <v>310</v>
      </c>
      <c r="BC157" s="84" t="s">
        <v>310</v>
      </c>
      <c r="BD157" s="84" t="s">
        <v>310</v>
      </c>
      <c r="BE157" s="84" t="s">
        <v>310</v>
      </c>
      <c r="BF157" s="84" t="s">
        <v>310</v>
      </c>
      <c r="BG157" s="84" t="s">
        <v>310</v>
      </c>
      <c r="BH157" s="84" t="s">
        <v>310</v>
      </c>
      <c r="BI157" s="84" t="s">
        <v>310</v>
      </c>
      <c r="BJ157" s="84" t="s">
        <v>310</v>
      </c>
    </row>
    <row r="158" spans="1:62" s="80" customFormat="1" x14ac:dyDescent="0.3">
      <c r="A158" s="45">
        <v>699002</v>
      </c>
      <c r="B158" s="46" t="s">
        <v>662</v>
      </c>
      <c r="C158" s="46" t="s">
        <v>663</v>
      </c>
      <c r="D158" s="46" t="str">
        <f t="shared" si="8"/>
        <v>699002_Currency purchase/sale</v>
      </c>
      <c r="E158" s="76">
        <v>600000</v>
      </c>
      <c r="F158" s="76" t="s">
        <v>240</v>
      </c>
      <c r="G158" s="76" t="s">
        <v>200</v>
      </c>
      <c r="H158" s="77" t="str">
        <f t="shared" si="9"/>
        <v>600000_Finance expenses</v>
      </c>
      <c r="I158" s="76">
        <v>699000</v>
      </c>
      <c r="J158" s="76" t="s">
        <v>241</v>
      </c>
      <c r="K158" s="76" t="s">
        <v>661</v>
      </c>
      <c r="L158" s="77" t="str">
        <f t="shared" si="10"/>
        <v>699000_Technical account</v>
      </c>
      <c r="M158" s="76" t="s">
        <v>350</v>
      </c>
      <c r="N158" s="78" t="s">
        <v>203</v>
      </c>
      <c r="O158" s="79" t="s">
        <v>310</v>
      </c>
      <c r="P158" s="79" t="s">
        <v>310</v>
      </c>
      <c r="Q158" s="79" t="s">
        <v>310</v>
      </c>
      <c r="R158" s="79" t="s">
        <v>310</v>
      </c>
      <c r="S158" s="79" t="s">
        <v>310</v>
      </c>
      <c r="T158" s="79" t="s">
        <v>310</v>
      </c>
      <c r="U158" s="79" t="s">
        <v>310</v>
      </c>
      <c r="V158" s="79" t="s">
        <v>310</v>
      </c>
      <c r="W158" s="79" t="s">
        <v>310</v>
      </c>
      <c r="X158" s="79" t="s">
        <v>310</v>
      </c>
      <c r="Y158" s="79" t="s">
        <v>310</v>
      </c>
      <c r="Z158" s="79" t="s">
        <v>310</v>
      </c>
      <c r="AA158" s="79" t="s">
        <v>310</v>
      </c>
      <c r="AB158" s="79" t="s">
        <v>310</v>
      </c>
      <c r="AC158" s="79" t="s">
        <v>310</v>
      </c>
      <c r="AD158" s="79" t="s">
        <v>310</v>
      </c>
      <c r="AE158" s="79" t="s">
        <v>310</v>
      </c>
      <c r="AF158" s="79" t="s">
        <v>310</v>
      </c>
      <c r="AG158" s="79" t="s">
        <v>310</v>
      </c>
      <c r="AH158" s="79" t="s">
        <v>310</v>
      </c>
      <c r="AI158" s="79" t="s">
        <v>310</v>
      </c>
      <c r="AJ158" s="79" t="s">
        <v>310</v>
      </c>
      <c r="AK158" s="79" t="s">
        <v>310</v>
      </c>
      <c r="AL158" s="79" t="s">
        <v>310</v>
      </c>
      <c r="AM158" s="79" t="s">
        <v>310</v>
      </c>
      <c r="AN158" s="79" t="s">
        <v>310</v>
      </c>
      <c r="AO158" s="79" t="s">
        <v>310</v>
      </c>
      <c r="AP158" s="79" t="s">
        <v>310</v>
      </c>
      <c r="AQ158" s="79" t="s">
        <v>310</v>
      </c>
      <c r="AR158" s="79" t="s">
        <v>310</v>
      </c>
      <c r="AS158" s="79" t="s">
        <v>310</v>
      </c>
      <c r="AT158" s="79" t="s">
        <v>310</v>
      </c>
      <c r="AU158" s="79" t="s">
        <v>310</v>
      </c>
      <c r="AV158" s="79" t="s">
        <v>310</v>
      </c>
      <c r="AW158" s="79" t="s">
        <v>310</v>
      </c>
      <c r="AX158" s="79" t="s">
        <v>310</v>
      </c>
      <c r="AY158" s="79" t="s">
        <v>310</v>
      </c>
      <c r="AZ158" s="79" t="s">
        <v>310</v>
      </c>
      <c r="BA158" s="79" t="s">
        <v>310</v>
      </c>
      <c r="BB158" s="79" t="s">
        <v>310</v>
      </c>
      <c r="BC158" s="79" t="s">
        <v>310</v>
      </c>
      <c r="BD158" s="79" t="s">
        <v>310</v>
      </c>
      <c r="BE158" s="79" t="s">
        <v>310</v>
      </c>
      <c r="BF158" s="79" t="s">
        <v>310</v>
      </c>
      <c r="BG158" s="79" t="s">
        <v>310</v>
      </c>
      <c r="BH158" s="79" t="s">
        <v>310</v>
      </c>
      <c r="BI158" s="79" t="s">
        <v>310</v>
      </c>
      <c r="BJ158" s="79" t="s">
        <v>310</v>
      </c>
    </row>
    <row r="159" spans="1:62" s="85" customFormat="1" x14ac:dyDescent="0.3">
      <c r="A159" s="43">
        <v>699003</v>
      </c>
      <c r="B159" s="44" t="s">
        <v>664</v>
      </c>
      <c r="C159" s="44" t="s">
        <v>665</v>
      </c>
      <c r="D159" s="44" t="str">
        <f t="shared" si="8"/>
        <v>699003_Cash returns</v>
      </c>
      <c r="E159" s="81">
        <v>600000</v>
      </c>
      <c r="F159" s="81" t="s">
        <v>240</v>
      </c>
      <c r="G159" s="44" t="s">
        <v>200</v>
      </c>
      <c r="H159" s="44" t="str">
        <f t="shared" si="9"/>
        <v>600000_Finance expenses</v>
      </c>
      <c r="I159" s="81">
        <v>699000</v>
      </c>
      <c r="J159" s="81" t="s">
        <v>241</v>
      </c>
      <c r="K159" s="44" t="s">
        <v>661</v>
      </c>
      <c r="L159" s="44" t="str">
        <f t="shared" si="10"/>
        <v>699000_Technical account</v>
      </c>
      <c r="M159" s="82" t="s">
        <v>350</v>
      </c>
      <c r="N159" s="83" t="s">
        <v>203</v>
      </c>
      <c r="O159" s="84" t="s">
        <v>310</v>
      </c>
      <c r="P159" s="84" t="s">
        <v>310</v>
      </c>
      <c r="Q159" s="84" t="s">
        <v>310</v>
      </c>
      <c r="R159" s="84" t="s">
        <v>310</v>
      </c>
      <c r="S159" s="84" t="s">
        <v>310</v>
      </c>
      <c r="T159" s="84" t="s">
        <v>310</v>
      </c>
      <c r="U159" s="84" t="s">
        <v>310</v>
      </c>
      <c r="V159" s="84" t="s">
        <v>310</v>
      </c>
      <c r="W159" s="84" t="s">
        <v>310</v>
      </c>
      <c r="X159" s="84" t="s">
        <v>310</v>
      </c>
      <c r="Y159" s="84" t="s">
        <v>310</v>
      </c>
      <c r="Z159" s="84" t="s">
        <v>310</v>
      </c>
      <c r="AA159" s="84" t="s">
        <v>310</v>
      </c>
      <c r="AB159" s="84" t="s">
        <v>310</v>
      </c>
      <c r="AC159" s="84" t="s">
        <v>310</v>
      </c>
      <c r="AD159" s="84" t="s">
        <v>310</v>
      </c>
      <c r="AE159" s="84" t="s">
        <v>310</v>
      </c>
      <c r="AF159" s="84" t="s">
        <v>310</v>
      </c>
      <c r="AG159" s="84" t="s">
        <v>310</v>
      </c>
      <c r="AH159" s="84" t="s">
        <v>310</v>
      </c>
      <c r="AI159" s="84" t="s">
        <v>310</v>
      </c>
      <c r="AJ159" s="84" t="s">
        <v>310</v>
      </c>
      <c r="AK159" s="84" t="s">
        <v>310</v>
      </c>
      <c r="AL159" s="84" t="s">
        <v>310</v>
      </c>
      <c r="AM159" s="84" t="s">
        <v>310</v>
      </c>
      <c r="AN159" s="84" t="s">
        <v>310</v>
      </c>
      <c r="AO159" s="84" t="s">
        <v>310</v>
      </c>
      <c r="AP159" s="84" t="s">
        <v>310</v>
      </c>
      <c r="AQ159" s="84" t="s">
        <v>310</v>
      </c>
      <c r="AR159" s="84" t="s">
        <v>310</v>
      </c>
      <c r="AS159" s="84" t="s">
        <v>310</v>
      </c>
      <c r="AT159" s="84" t="s">
        <v>310</v>
      </c>
      <c r="AU159" s="84" t="s">
        <v>310</v>
      </c>
      <c r="AV159" s="84" t="s">
        <v>310</v>
      </c>
      <c r="AW159" s="84" t="s">
        <v>310</v>
      </c>
      <c r="AX159" s="84" t="s">
        <v>310</v>
      </c>
      <c r="AY159" s="84" t="s">
        <v>310</v>
      </c>
      <c r="AZ159" s="84" t="s">
        <v>310</v>
      </c>
      <c r="BA159" s="84" t="s">
        <v>310</v>
      </c>
      <c r="BB159" s="84" t="s">
        <v>310</v>
      </c>
      <c r="BC159" s="84" t="s">
        <v>310</v>
      </c>
      <c r="BD159" s="84" t="s">
        <v>310</v>
      </c>
      <c r="BE159" s="84" t="s">
        <v>310</v>
      </c>
      <c r="BF159" s="84" t="s">
        <v>310</v>
      </c>
      <c r="BG159" s="84" t="s">
        <v>310</v>
      </c>
      <c r="BH159" s="84" t="s">
        <v>310</v>
      </c>
      <c r="BI159" s="84" t="s">
        <v>310</v>
      </c>
      <c r="BJ159" s="84" t="s">
        <v>310</v>
      </c>
    </row>
    <row r="160" spans="1:62" s="80" customFormat="1" x14ac:dyDescent="0.3">
      <c r="A160" s="45">
        <v>699004</v>
      </c>
      <c r="B160" s="46" t="s">
        <v>666</v>
      </c>
      <c r="C160" s="46" t="s">
        <v>667</v>
      </c>
      <c r="D160" s="46" t="str">
        <f t="shared" si="8"/>
        <v>699004_Deferred tax asset</v>
      </c>
      <c r="E160" s="76">
        <v>600000</v>
      </c>
      <c r="F160" s="76" t="s">
        <v>240</v>
      </c>
      <c r="G160" s="76" t="s">
        <v>200</v>
      </c>
      <c r="H160" s="77" t="str">
        <f t="shared" si="9"/>
        <v>600000_Finance expenses</v>
      </c>
      <c r="I160" s="76">
        <v>699000</v>
      </c>
      <c r="J160" s="76" t="s">
        <v>241</v>
      </c>
      <c r="K160" s="76" t="s">
        <v>661</v>
      </c>
      <c r="L160" s="77" t="str">
        <f t="shared" si="10"/>
        <v>699000_Technical account</v>
      </c>
      <c r="M160" s="76" t="s">
        <v>350</v>
      </c>
      <c r="N160" s="78" t="s">
        <v>203</v>
      </c>
      <c r="O160" s="79" t="s">
        <v>310</v>
      </c>
      <c r="P160" s="79" t="s">
        <v>310</v>
      </c>
      <c r="Q160" s="79" t="s">
        <v>310</v>
      </c>
      <c r="R160" s="79" t="s">
        <v>310</v>
      </c>
      <c r="S160" s="79" t="s">
        <v>310</v>
      </c>
      <c r="T160" s="79" t="s">
        <v>310</v>
      </c>
      <c r="U160" s="79" t="s">
        <v>310</v>
      </c>
      <c r="V160" s="79" t="s">
        <v>310</v>
      </c>
      <c r="W160" s="79" t="s">
        <v>310</v>
      </c>
      <c r="X160" s="79" t="s">
        <v>310</v>
      </c>
      <c r="Y160" s="79" t="s">
        <v>310</v>
      </c>
      <c r="Z160" s="79" t="s">
        <v>310</v>
      </c>
      <c r="AA160" s="79" t="s">
        <v>310</v>
      </c>
      <c r="AB160" s="79" t="s">
        <v>310</v>
      </c>
      <c r="AC160" s="79" t="s">
        <v>310</v>
      </c>
      <c r="AD160" s="79" t="s">
        <v>310</v>
      </c>
      <c r="AE160" s="79" t="s">
        <v>310</v>
      </c>
      <c r="AF160" s="79" t="s">
        <v>310</v>
      </c>
      <c r="AG160" s="79" t="s">
        <v>310</v>
      </c>
      <c r="AH160" s="79" t="s">
        <v>310</v>
      </c>
      <c r="AI160" s="79" t="s">
        <v>310</v>
      </c>
      <c r="AJ160" s="79" t="s">
        <v>310</v>
      </c>
      <c r="AK160" s="79" t="s">
        <v>310</v>
      </c>
      <c r="AL160" s="79" t="s">
        <v>310</v>
      </c>
      <c r="AM160" s="79" t="s">
        <v>310</v>
      </c>
      <c r="AN160" s="79" t="s">
        <v>310</v>
      </c>
      <c r="AO160" s="79" t="s">
        <v>310</v>
      </c>
      <c r="AP160" s="79" t="s">
        <v>310</v>
      </c>
      <c r="AQ160" s="79" t="s">
        <v>310</v>
      </c>
      <c r="AR160" s="79" t="s">
        <v>310</v>
      </c>
      <c r="AS160" s="79" t="s">
        <v>310</v>
      </c>
      <c r="AT160" s="79" t="s">
        <v>310</v>
      </c>
      <c r="AU160" s="79" t="s">
        <v>310</v>
      </c>
      <c r="AV160" s="79" t="s">
        <v>310</v>
      </c>
      <c r="AW160" s="79" t="s">
        <v>310</v>
      </c>
      <c r="AX160" s="79" t="s">
        <v>310</v>
      </c>
      <c r="AY160" s="79" t="s">
        <v>310</v>
      </c>
      <c r="AZ160" s="79" t="s">
        <v>310</v>
      </c>
      <c r="BA160" s="79" t="s">
        <v>310</v>
      </c>
      <c r="BB160" s="79" t="s">
        <v>310</v>
      </c>
      <c r="BC160" s="79" t="s">
        <v>310</v>
      </c>
      <c r="BD160" s="79" t="s">
        <v>310</v>
      </c>
      <c r="BE160" s="79" t="s">
        <v>310</v>
      </c>
      <c r="BF160" s="79" t="s">
        <v>310</v>
      </c>
      <c r="BG160" s="79" t="s">
        <v>310</v>
      </c>
      <c r="BH160" s="79" t="s">
        <v>310</v>
      </c>
      <c r="BI160" s="79" t="s">
        <v>310</v>
      </c>
      <c r="BJ160" s="79" t="s">
        <v>310</v>
      </c>
    </row>
    <row r="161" spans="1:62" s="85" customFormat="1" x14ac:dyDescent="0.3">
      <c r="A161" s="43">
        <v>699005</v>
      </c>
      <c r="B161" s="44" t="s">
        <v>668</v>
      </c>
      <c r="C161" s="44" t="s">
        <v>669</v>
      </c>
      <c r="D161" s="44" t="str">
        <f t="shared" si="8"/>
        <v>699005_Deferred tax liabilities</v>
      </c>
      <c r="E161" s="81">
        <v>600000</v>
      </c>
      <c r="F161" s="81" t="s">
        <v>240</v>
      </c>
      <c r="G161" s="44" t="s">
        <v>200</v>
      </c>
      <c r="H161" s="44" t="str">
        <f t="shared" si="9"/>
        <v>600000_Finance expenses</v>
      </c>
      <c r="I161" s="81">
        <v>699000</v>
      </c>
      <c r="J161" s="81" t="s">
        <v>241</v>
      </c>
      <c r="K161" s="44" t="s">
        <v>661</v>
      </c>
      <c r="L161" s="44" t="str">
        <f t="shared" si="10"/>
        <v>699000_Technical account</v>
      </c>
      <c r="M161" s="82" t="s">
        <v>350</v>
      </c>
      <c r="N161" s="83" t="s">
        <v>203</v>
      </c>
      <c r="O161" s="84" t="s">
        <v>310</v>
      </c>
      <c r="P161" s="84" t="s">
        <v>310</v>
      </c>
      <c r="Q161" s="84" t="s">
        <v>310</v>
      </c>
      <c r="R161" s="84" t="s">
        <v>310</v>
      </c>
      <c r="S161" s="84" t="s">
        <v>310</v>
      </c>
      <c r="T161" s="84" t="s">
        <v>310</v>
      </c>
      <c r="U161" s="84" t="s">
        <v>310</v>
      </c>
      <c r="V161" s="84" t="s">
        <v>310</v>
      </c>
      <c r="W161" s="84" t="s">
        <v>310</v>
      </c>
      <c r="X161" s="84" t="s">
        <v>310</v>
      </c>
      <c r="Y161" s="84" t="s">
        <v>310</v>
      </c>
      <c r="Z161" s="84" t="s">
        <v>310</v>
      </c>
      <c r="AA161" s="84" t="s">
        <v>310</v>
      </c>
      <c r="AB161" s="84" t="s">
        <v>310</v>
      </c>
      <c r="AC161" s="84" t="s">
        <v>310</v>
      </c>
      <c r="AD161" s="84" t="s">
        <v>310</v>
      </c>
      <c r="AE161" s="84" t="s">
        <v>310</v>
      </c>
      <c r="AF161" s="84" t="s">
        <v>310</v>
      </c>
      <c r="AG161" s="84" t="s">
        <v>310</v>
      </c>
      <c r="AH161" s="84" t="s">
        <v>310</v>
      </c>
      <c r="AI161" s="84" t="s">
        <v>310</v>
      </c>
      <c r="AJ161" s="84" t="s">
        <v>310</v>
      </c>
      <c r="AK161" s="84" t="s">
        <v>310</v>
      </c>
      <c r="AL161" s="84" t="s">
        <v>310</v>
      </c>
      <c r="AM161" s="84" t="s">
        <v>310</v>
      </c>
      <c r="AN161" s="84" t="s">
        <v>310</v>
      </c>
      <c r="AO161" s="84" t="s">
        <v>310</v>
      </c>
      <c r="AP161" s="84" t="s">
        <v>310</v>
      </c>
      <c r="AQ161" s="84" t="s">
        <v>310</v>
      </c>
      <c r="AR161" s="84" t="s">
        <v>310</v>
      </c>
      <c r="AS161" s="84" t="s">
        <v>310</v>
      </c>
      <c r="AT161" s="84" t="s">
        <v>310</v>
      </c>
      <c r="AU161" s="84" t="s">
        <v>310</v>
      </c>
      <c r="AV161" s="84" t="s">
        <v>310</v>
      </c>
      <c r="AW161" s="84" t="s">
        <v>310</v>
      </c>
      <c r="AX161" s="84" t="s">
        <v>310</v>
      </c>
      <c r="AY161" s="84" t="s">
        <v>310</v>
      </c>
      <c r="AZ161" s="84" t="s">
        <v>310</v>
      </c>
      <c r="BA161" s="84" t="s">
        <v>310</v>
      </c>
      <c r="BB161" s="84" t="s">
        <v>310</v>
      </c>
      <c r="BC161" s="84" t="s">
        <v>310</v>
      </c>
      <c r="BD161" s="84" t="s">
        <v>310</v>
      </c>
      <c r="BE161" s="84" t="s">
        <v>310</v>
      </c>
      <c r="BF161" s="84" t="s">
        <v>310</v>
      </c>
      <c r="BG161" s="84" t="s">
        <v>310</v>
      </c>
      <c r="BH161" s="84" t="s">
        <v>310</v>
      </c>
      <c r="BI161" s="84" t="s">
        <v>310</v>
      </c>
      <c r="BJ161" s="84" t="s">
        <v>310</v>
      </c>
    </row>
    <row r="162" spans="1:62" s="80" customFormat="1" x14ac:dyDescent="0.3">
      <c r="A162" s="45">
        <v>699006</v>
      </c>
      <c r="B162" s="46" t="s">
        <v>670</v>
      </c>
      <c r="C162" s="46" t="s">
        <v>671</v>
      </c>
      <c r="D162" s="46" t="str">
        <f t="shared" si="8"/>
        <v>699006_Permanent tax differences</v>
      </c>
      <c r="E162" s="76">
        <v>600000</v>
      </c>
      <c r="F162" s="76" t="s">
        <v>240</v>
      </c>
      <c r="G162" s="76" t="s">
        <v>200</v>
      </c>
      <c r="H162" s="77" t="str">
        <f t="shared" si="9"/>
        <v>600000_Finance expenses</v>
      </c>
      <c r="I162" s="76">
        <v>699000</v>
      </c>
      <c r="J162" s="76" t="s">
        <v>241</v>
      </c>
      <c r="K162" s="76" t="s">
        <v>661</v>
      </c>
      <c r="L162" s="77" t="str">
        <f t="shared" si="10"/>
        <v>699000_Technical account</v>
      </c>
      <c r="M162" s="76" t="s">
        <v>350</v>
      </c>
      <c r="N162" s="78" t="s">
        <v>203</v>
      </c>
      <c r="O162" s="79" t="s">
        <v>310</v>
      </c>
      <c r="P162" s="79" t="s">
        <v>310</v>
      </c>
      <c r="Q162" s="79" t="s">
        <v>310</v>
      </c>
      <c r="R162" s="79" t="s">
        <v>310</v>
      </c>
      <c r="S162" s="79" t="s">
        <v>310</v>
      </c>
      <c r="T162" s="79" t="s">
        <v>310</v>
      </c>
      <c r="U162" s="79" t="s">
        <v>310</v>
      </c>
      <c r="V162" s="79" t="s">
        <v>310</v>
      </c>
      <c r="W162" s="79" t="s">
        <v>310</v>
      </c>
      <c r="X162" s="79" t="s">
        <v>310</v>
      </c>
      <c r="Y162" s="79" t="s">
        <v>310</v>
      </c>
      <c r="Z162" s="79" t="s">
        <v>310</v>
      </c>
      <c r="AA162" s="79" t="s">
        <v>310</v>
      </c>
      <c r="AB162" s="79" t="s">
        <v>310</v>
      </c>
      <c r="AC162" s="79" t="s">
        <v>310</v>
      </c>
      <c r="AD162" s="79" t="s">
        <v>310</v>
      </c>
      <c r="AE162" s="79" t="s">
        <v>310</v>
      </c>
      <c r="AF162" s="79" t="s">
        <v>310</v>
      </c>
      <c r="AG162" s="79" t="s">
        <v>310</v>
      </c>
      <c r="AH162" s="79" t="s">
        <v>310</v>
      </c>
      <c r="AI162" s="79" t="s">
        <v>310</v>
      </c>
      <c r="AJ162" s="79" t="s">
        <v>310</v>
      </c>
      <c r="AK162" s="79" t="s">
        <v>310</v>
      </c>
      <c r="AL162" s="79" t="s">
        <v>310</v>
      </c>
      <c r="AM162" s="79" t="s">
        <v>310</v>
      </c>
      <c r="AN162" s="79" t="s">
        <v>310</v>
      </c>
      <c r="AO162" s="79" t="s">
        <v>310</v>
      </c>
      <c r="AP162" s="79" t="s">
        <v>310</v>
      </c>
      <c r="AQ162" s="79" t="s">
        <v>310</v>
      </c>
      <c r="AR162" s="79" t="s">
        <v>310</v>
      </c>
      <c r="AS162" s="79" t="s">
        <v>310</v>
      </c>
      <c r="AT162" s="79" t="s">
        <v>310</v>
      </c>
      <c r="AU162" s="79" t="s">
        <v>310</v>
      </c>
      <c r="AV162" s="79" t="s">
        <v>310</v>
      </c>
      <c r="AW162" s="79" t="s">
        <v>310</v>
      </c>
      <c r="AX162" s="79" t="s">
        <v>310</v>
      </c>
      <c r="AY162" s="79" t="s">
        <v>310</v>
      </c>
      <c r="AZ162" s="79" t="s">
        <v>310</v>
      </c>
      <c r="BA162" s="79" t="s">
        <v>310</v>
      </c>
      <c r="BB162" s="79" t="s">
        <v>310</v>
      </c>
      <c r="BC162" s="79" t="s">
        <v>310</v>
      </c>
      <c r="BD162" s="79" t="s">
        <v>310</v>
      </c>
      <c r="BE162" s="79" t="s">
        <v>310</v>
      </c>
      <c r="BF162" s="79" t="s">
        <v>310</v>
      </c>
      <c r="BG162" s="79" t="s">
        <v>310</v>
      </c>
      <c r="BH162" s="79" t="s">
        <v>310</v>
      </c>
      <c r="BI162" s="79" t="s">
        <v>310</v>
      </c>
      <c r="BJ162" s="79" t="s">
        <v>310</v>
      </c>
    </row>
    <row r="163" spans="1:62" s="85" customFormat="1" x14ac:dyDescent="0.3">
      <c r="A163" s="43">
        <v>699007</v>
      </c>
      <c r="B163" s="44" t="s">
        <v>672</v>
      </c>
      <c r="C163" s="44" t="s">
        <v>673</v>
      </c>
      <c r="D163" s="44" t="str">
        <f t="shared" ref="D163:D181" si="11">A163&amp;$D$1&amp;C163</f>
        <v>699007_Prior period expenses</v>
      </c>
      <c r="E163" s="81">
        <v>600000</v>
      </c>
      <c r="F163" s="81" t="s">
        <v>240</v>
      </c>
      <c r="G163" s="44" t="s">
        <v>200</v>
      </c>
      <c r="H163" s="44" t="str">
        <f t="shared" si="9"/>
        <v>600000_Finance expenses</v>
      </c>
      <c r="I163" s="81">
        <v>699000</v>
      </c>
      <c r="J163" s="81" t="s">
        <v>241</v>
      </c>
      <c r="K163" s="44" t="s">
        <v>661</v>
      </c>
      <c r="L163" s="44" t="str">
        <f t="shared" si="10"/>
        <v>699000_Technical account</v>
      </c>
      <c r="M163" s="82" t="s">
        <v>350</v>
      </c>
      <c r="N163" s="83" t="s">
        <v>203</v>
      </c>
      <c r="O163" s="84" t="s">
        <v>310</v>
      </c>
      <c r="P163" s="84" t="s">
        <v>310</v>
      </c>
      <c r="Q163" s="84" t="s">
        <v>310</v>
      </c>
      <c r="R163" s="84" t="s">
        <v>310</v>
      </c>
      <c r="S163" s="84" t="s">
        <v>310</v>
      </c>
      <c r="T163" s="84" t="s">
        <v>310</v>
      </c>
      <c r="U163" s="84" t="s">
        <v>310</v>
      </c>
      <c r="V163" s="84" t="s">
        <v>310</v>
      </c>
      <c r="W163" s="84" t="s">
        <v>310</v>
      </c>
      <c r="X163" s="84" t="s">
        <v>310</v>
      </c>
      <c r="Y163" s="84" t="s">
        <v>310</v>
      </c>
      <c r="Z163" s="84" t="s">
        <v>310</v>
      </c>
      <c r="AA163" s="84" t="s">
        <v>310</v>
      </c>
      <c r="AB163" s="84" t="s">
        <v>310</v>
      </c>
      <c r="AC163" s="84" t="s">
        <v>310</v>
      </c>
      <c r="AD163" s="84" t="s">
        <v>310</v>
      </c>
      <c r="AE163" s="84" t="s">
        <v>310</v>
      </c>
      <c r="AF163" s="84" t="s">
        <v>310</v>
      </c>
      <c r="AG163" s="84" t="s">
        <v>310</v>
      </c>
      <c r="AH163" s="84" t="s">
        <v>310</v>
      </c>
      <c r="AI163" s="84" t="s">
        <v>310</v>
      </c>
      <c r="AJ163" s="84" t="s">
        <v>310</v>
      </c>
      <c r="AK163" s="84" t="s">
        <v>310</v>
      </c>
      <c r="AL163" s="84" t="s">
        <v>310</v>
      </c>
      <c r="AM163" s="84" t="s">
        <v>310</v>
      </c>
      <c r="AN163" s="84" t="s">
        <v>310</v>
      </c>
      <c r="AO163" s="84" t="s">
        <v>310</v>
      </c>
      <c r="AP163" s="84" t="s">
        <v>310</v>
      </c>
      <c r="AQ163" s="84" t="s">
        <v>310</v>
      </c>
      <c r="AR163" s="84" t="s">
        <v>310</v>
      </c>
      <c r="AS163" s="84" t="s">
        <v>310</v>
      </c>
      <c r="AT163" s="84" t="s">
        <v>310</v>
      </c>
      <c r="AU163" s="84" t="s">
        <v>310</v>
      </c>
      <c r="AV163" s="84" t="s">
        <v>310</v>
      </c>
      <c r="AW163" s="84" t="s">
        <v>310</v>
      </c>
      <c r="AX163" s="84" t="s">
        <v>310</v>
      </c>
      <c r="AY163" s="84" t="s">
        <v>310</v>
      </c>
      <c r="AZ163" s="84" t="s">
        <v>310</v>
      </c>
      <c r="BA163" s="84" t="s">
        <v>310</v>
      </c>
      <c r="BB163" s="84" t="s">
        <v>310</v>
      </c>
      <c r="BC163" s="84" t="s">
        <v>310</v>
      </c>
      <c r="BD163" s="84" t="s">
        <v>310</v>
      </c>
      <c r="BE163" s="84" t="s">
        <v>310</v>
      </c>
      <c r="BF163" s="84" t="s">
        <v>310</v>
      </c>
      <c r="BG163" s="84" t="s">
        <v>310</v>
      </c>
      <c r="BH163" s="84" t="s">
        <v>310</v>
      </c>
      <c r="BI163" s="84" t="s">
        <v>310</v>
      </c>
      <c r="BJ163" s="84" t="s">
        <v>310</v>
      </c>
    </row>
    <row r="164" spans="1:62" s="80" customFormat="1" x14ac:dyDescent="0.3">
      <c r="A164" s="45">
        <v>699008</v>
      </c>
      <c r="B164" s="46" t="s">
        <v>674</v>
      </c>
      <c r="C164" s="46" t="s">
        <v>675</v>
      </c>
      <c r="D164" s="46" t="str">
        <f t="shared" si="11"/>
        <v>699008_Security deposit for rent</v>
      </c>
      <c r="E164" s="76">
        <v>600000</v>
      </c>
      <c r="F164" s="76" t="s">
        <v>240</v>
      </c>
      <c r="G164" s="76" t="s">
        <v>200</v>
      </c>
      <c r="H164" s="77" t="str">
        <f t="shared" si="9"/>
        <v>600000_Finance expenses</v>
      </c>
      <c r="I164" s="76">
        <v>699000</v>
      </c>
      <c r="J164" s="76" t="s">
        <v>241</v>
      </c>
      <c r="K164" s="76" t="s">
        <v>661</v>
      </c>
      <c r="L164" s="77" t="str">
        <f t="shared" si="10"/>
        <v>699000_Technical account</v>
      </c>
      <c r="M164" s="76" t="s">
        <v>308</v>
      </c>
      <c r="N164" s="78" t="s">
        <v>203</v>
      </c>
      <c r="O164" s="79" t="s">
        <v>310</v>
      </c>
      <c r="P164" s="79" t="s">
        <v>310</v>
      </c>
      <c r="Q164" s="79" t="s">
        <v>310</v>
      </c>
      <c r="R164" s="79" t="s">
        <v>310</v>
      </c>
      <c r="S164" s="79" t="s">
        <v>310</v>
      </c>
      <c r="T164" s="79" t="s">
        <v>310</v>
      </c>
      <c r="U164" s="79" t="s">
        <v>310</v>
      </c>
      <c r="V164" s="79" t="s">
        <v>310</v>
      </c>
      <c r="W164" s="79" t="s">
        <v>310</v>
      </c>
      <c r="X164" s="79" t="s">
        <v>310</v>
      </c>
      <c r="Y164" s="79" t="s">
        <v>310</v>
      </c>
      <c r="Z164" s="79" t="s">
        <v>310</v>
      </c>
      <c r="AA164" s="79" t="s">
        <v>310</v>
      </c>
      <c r="AB164" s="79" t="s">
        <v>310</v>
      </c>
      <c r="AC164" s="79" t="s">
        <v>310</v>
      </c>
      <c r="AD164" s="79" t="s">
        <v>310</v>
      </c>
      <c r="AE164" s="79" t="s">
        <v>310</v>
      </c>
      <c r="AF164" s="79" t="s">
        <v>310</v>
      </c>
      <c r="AG164" s="79" t="s">
        <v>310</v>
      </c>
      <c r="AH164" s="79" t="s">
        <v>310</v>
      </c>
      <c r="AI164" s="79" t="s">
        <v>310</v>
      </c>
      <c r="AJ164" s="79" t="s">
        <v>310</v>
      </c>
      <c r="AK164" s="79" t="s">
        <v>310</v>
      </c>
      <c r="AL164" s="79" t="s">
        <v>310</v>
      </c>
      <c r="AM164" s="79" t="s">
        <v>310</v>
      </c>
      <c r="AN164" s="79" t="s">
        <v>310</v>
      </c>
      <c r="AO164" s="79" t="s">
        <v>310</v>
      </c>
      <c r="AP164" s="79" t="s">
        <v>310</v>
      </c>
      <c r="AQ164" s="79" t="s">
        <v>310</v>
      </c>
      <c r="AR164" s="79" t="s">
        <v>310</v>
      </c>
      <c r="AS164" s="79" t="s">
        <v>310</v>
      </c>
      <c r="AT164" s="79" t="s">
        <v>310</v>
      </c>
      <c r="AU164" s="79" t="s">
        <v>310</v>
      </c>
      <c r="AV164" s="79" t="s">
        <v>310</v>
      </c>
      <c r="AW164" s="79" t="s">
        <v>310</v>
      </c>
      <c r="AX164" s="79" t="s">
        <v>310</v>
      </c>
      <c r="AY164" s="79" t="s">
        <v>310</v>
      </c>
      <c r="AZ164" s="79" t="s">
        <v>310</v>
      </c>
      <c r="BA164" s="79" t="s">
        <v>310</v>
      </c>
      <c r="BB164" s="79" t="s">
        <v>310</v>
      </c>
      <c r="BC164" s="79" t="s">
        <v>310</v>
      </c>
      <c r="BD164" s="79" t="s">
        <v>310</v>
      </c>
      <c r="BE164" s="79" t="s">
        <v>310</v>
      </c>
      <c r="BF164" s="79" t="s">
        <v>310</v>
      </c>
      <c r="BG164" s="79" t="s">
        <v>310</v>
      </c>
      <c r="BH164" s="79" t="s">
        <v>310</v>
      </c>
      <c r="BI164" s="79" t="s">
        <v>310</v>
      </c>
      <c r="BJ164" s="79" t="s">
        <v>310</v>
      </c>
    </row>
    <row r="165" spans="1:62" s="85" customFormat="1" x14ac:dyDescent="0.3">
      <c r="A165" s="43">
        <v>699009</v>
      </c>
      <c r="B165" s="44" t="s">
        <v>242</v>
      </c>
      <c r="C165" s="44" t="s">
        <v>172</v>
      </c>
      <c r="D165" s="44" t="str">
        <f t="shared" si="11"/>
        <v>699009_Overheads for projects</v>
      </c>
      <c r="E165" s="81">
        <v>600000</v>
      </c>
      <c r="F165" s="81" t="s">
        <v>240</v>
      </c>
      <c r="G165" s="44" t="s">
        <v>200</v>
      </c>
      <c r="H165" s="44" t="str">
        <f t="shared" si="9"/>
        <v>600000_Finance expenses</v>
      </c>
      <c r="I165" s="81">
        <v>699000</v>
      </c>
      <c r="J165" s="81" t="s">
        <v>241</v>
      </c>
      <c r="K165" s="44" t="s">
        <v>661</v>
      </c>
      <c r="L165" s="44" t="str">
        <f t="shared" si="10"/>
        <v>699000_Technical account</v>
      </c>
      <c r="M165" s="82" t="s">
        <v>308</v>
      </c>
      <c r="N165" s="83" t="s">
        <v>203</v>
      </c>
      <c r="O165" s="84" t="s">
        <v>203</v>
      </c>
      <c r="P165" s="84" t="s">
        <v>203</v>
      </c>
      <c r="Q165" s="84" t="s">
        <v>203</v>
      </c>
      <c r="R165" s="84" t="s">
        <v>203</v>
      </c>
      <c r="S165" s="84" t="s">
        <v>203</v>
      </c>
      <c r="T165" s="84" t="s">
        <v>203</v>
      </c>
      <c r="U165" s="84" t="s">
        <v>203</v>
      </c>
      <c r="V165" s="84" t="s">
        <v>203</v>
      </c>
      <c r="W165" s="84" t="s">
        <v>203</v>
      </c>
      <c r="X165" s="84" t="s">
        <v>203</v>
      </c>
      <c r="Y165" s="84" t="s">
        <v>203</v>
      </c>
      <c r="Z165" s="84" t="s">
        <v>203</v>
      </c>
      <c r="AA165" s="84" t="s">
        <v>203</v>
      </c>
      <c r="AB165" s="84" t="s">
        <v>203</v>
      </c>
      <c r="AC165" s="84" t="s">
        <v>203</v>
      </c>
      <c r="AD165" s="84" t="s">
        <v>203</v>
      </c>
      <c r="AE165" s="84" t="s">
        <v>203</v>
      </c>
      <c r="AF165" s="84" t="s">
        <v>203</v>
      </c>
      <c r="AG165" s="84" t="s">
        <v>203</v>
      </c>
      <c r="AH165" s="84" t="s">
        <v>203</v>
      </c>
      <c r="AI165" s="84" t="s">
        <v>203</v>
      </c>
      <c r="AJ165" s="84" t="s">
        <v>203</v>
      </c>
      <c r="AK165" s="84" t="s">
        <v>203</v>
      </c>
      <c r="AL165" s="84" t="s">
        <v>203</v>
      </c>
      <c r="AM165" s="84" t="s">
        <v>203</v>
      </c>
      <c r="AN165" s="84" t="s">
        <v>203</v>
      </c>
      <c r="AO165" s="84" t="s">
        <v>203</v>
      </c>
      <c r="AP165" s="84" t="s">
        <v>203</v>
      </c>
      <c r="AQ165" s="84" t="s">
        <v>203</v>
      </c>
      <c r="AR165" s="84" t="s">
        <v>203</v>
      </c>
      <c r="AS165" s="84" t="s">
        <v>203</v>
      </c>
      <c r="AT165" s="84" t="s">
        <v>310</v>
      </c>
      <c r="AU165" s="84" t="s">
        <v>310</v>
      </c>
      <c r="AV165" s="84" t="s">
        <v>310</v>
      </c>
      <c r="AW165" s="84" t="s">
        <v>310</v>
      </c>
      <c r="AX165" s="84" t="s">
        <v>310</v>
      </c>
      <c r="AY165" s="84" t="s">
        <v>310</v>
      </c>
      <c r="AZ165" s="84" t="s">
        <v>310</v>
      </c>
      <c r="BA165" s="84" t="s">
        <v>310</v>
      </c>
      <c r="BB165" s="84" t="s">
        <v>310</v>
      </c>
      <c r="BC165" s="84" t="s">
        <v>310</v>
      </c>
      <c r="BD165" s="84" t="s">
        <v>310</v>
      </c>
      <c r="BE165" s="84" t="s">
        <v>310</v>
      </c>
      <c r="BF165" s="84" t="s">
        <v>310</v>
      </c>
      <c r="BG165" s="84" t="s">
        <v>310</v>
      </c>
      <c r="BH165" s="84" t="s">
        <v>310</v>
      </c>
      <c r="BI165" s="84" t="s">
        <v>310</v>
      </c>
      <c r="BJ165" s="84" t="s">
        <v>310</v>
      </c>
    </row>
    <row r="166" spans="1:62" s="80" customFormat="1" x14ac:dyDescent="0.3">
      <c r="A166" s="45">
        <v>699010</v>
      </c>
      <c r="B166" s="46" t="s">
        <v>676</v>
      </c>
      <c r="C166" s="46" t="s">
        <v>677</v>
      </c>
      <c r="D166" s="46" t="str">
        <f t="shared" si="11"/>
        <v>699010_Advances given to employees</v>
      </c>
      <c r="E166" s="76">
        <v>600000</v>
      </c>
      <c r="F166" s="76" t="s">
        <v>240</v>
      </c>
      <c r="G166" s="76" t="s">
        <v>200</v>
      </c>
      <c r="H166" s="77" t="str">
        <f>E166&amp;$D$1&amp;G166</f>
        <v>600000_Finance expenses</v>
      </c>
      <c r="I166" s="76">
        <v>699000</v>
      </c>
      <c r="J166" s="76" t="s">
        <v>241</v>
      </c>
      <c r="K166" s="76" t="s">
        <v>661</v>
      </c>
      <c r="L166" s="77" t="str">
        <f>I166&amp;$D$1&amp;K166</f>
        <v>699000_Technical account</v>
      </c>
      <c r="M166" s="76" t="s">
        <v>350</v>
      </c>
      <c r="N166" s="78" t="s">
        <v>678</v>
      </c>
      <c r="O166" s="79" t="s">
        <v>310</v>
      </c>
      <c r="P166" s="79" t="s">
        <v>310</v>
      </c>
      <c r="Q166" s="79" t="s">
        <v>310</v>
      </c>
      <c r="R166" s="79" t="s">
        <v>310</v>
      </c>
      <c r="S166" s="79" t="s">
        <v>310</v>
      </c>
      <c r="T166" s="79" t="s">
        <v>310</v>
      </c>
      <c r="U166" s="79" t="s">
        <v>310</v>
      </c>
      <c r="V166" s="79" t="s">
        <v>310</v>
      </c>
      <c r="W166" s="79" t="s">
        <v>310</v>
      </c>
      <c r="X166" s="79" t="s">
        <v>310</v>
      </c>
      <c r="Y166" s="79" t="s">
        <v>310</v>
      </c>
      <c r="Z166" s="79" t="s">
        <v>310</v>
      </c>
      <c r="AA166" s="79" t="s">
        <v>310</v>
      </c>
      <c r="AB166" s="79" t="s">
        <v>310</v>
      </c>
      <c r="AC166" s="79" t="s">
        <v>310</v>
      </c>
      <c r="AD166" s="79" t="s">
        <v>310</v>
      </c>
      <c r="AE166" s="79" t="s">
        <v>310</v>
      </c>
      <c r="AF166" s="79" t="s">
        <v>310</v>
      </c>
      <c r="AG166" s="79" t="s">
        <v>310</v>
      </c>
      <c r="AH166" s="79" t="s">
        <v>310</v>
      </c>
      <c r="AI166" s="79" t="s">
        <v>310</v>
      </c>
      <c r="AJ166" s="79" t="s">
        <v>310</v>
      </c>
      <c r="AK166" s="79" t="s">
        <v>310</v>
      </c>
      <c r="AL166" s="79" t="s">
        <v>310</v>
      </c>
      <c r="AM166" s="79" t="s">
        <v>310</v>
      </c>
      <c r="AN166" s="79" t="s">
        <v>310</v>
      </c>
      <c r="AO166" s="79" t="s">
        <v>310</v>
      </c>
      <c r="AP166" s="79" t="s">
        <v>310</v>
      </c>
      <c r="AQ166" s="79" t="s">
        <v>310</v>
      </c>
      <c r="AR166" s="79" t="s">
        <v>310</v>
      </c>
      <c r="AS166" s="79" t="s">
        <v>310</v>
      </c>
      <c r="AT166" s="79" t="s">
        <v>310</v>
      </c>
      <c r="AU166" s="79" t="s">
        <v>310</v>
      </c>
      <c r="AV166" s="79" t="s">
        <v>310</v>
      </c>
      <c r="AW166" s="79" t="s">
        <v>310</v>
      </c>
      <c r="AX166" s="79" t="s">
        <v>310</v>
      </c>
      <c r="AY166" s="79" t="s">
        <v>310</v>
      </c>
      <c r="AZ166" s="79" t="s">
        <v>310</v>
      </c>
      <c r="BA166" s="79" t="s">
        <v>310</v>
      </c>
      <c r="BB166" s="79" t="s">
        <v>310</v>
      </c>
      <c r="BC166" s="79" t="s">
        <v>310</v>
      </c>
      <c r="BD166" s="79" t="s">
        <v>310</v>
      </c>
      <c r="BE166" s="79" t="s">
        <v>310</v>
      </c>
      <c r="BF166" s="79" t="s">
        <v>310</v>
      </c>
      <c r="BG166" s="79" t="s">
        <v>310</v>
      </c>
      <c r="BH166" s="79" t="s">
        <v>310</v>
      </c>
      <c r="BI166" s="79" t="s">
        <v>310</v>
      </c>
      <c r="BJ166" s="79" t="s">
        <v>310</v>
      </c>
    </row>
    <row r="167" spans="1:62" s="85" customFormat="1" x14ac:dyDescent="0.3">
      <c r="A167" s="43">
        <v>699999</v>
      </c>
      <c r="B167" s="44" t="s">
        <v>679</v>
      </c>
      <c r="C167" s="44" t="s">
        <v>661</v>
      </c>
      <c r="D167" s="44" t="str">
        <f t="shared" si="11"/>
        <v>699999_Technical account</v>
      </c>
      <c r="E167" s="81">
        <v>600000</v>
      </c>
      <c r="F167" s="81" t="s">
        <v>240</v>
      </c>
      <c r="G167" s="44" t="s">
        <v>200</v>
      </c>
      <c r="H167" s="44" t="str">
        <f t="shared" si="9"/>
        <v>600000_Finance expenses</v>
      </c>
      <c r="I167" s="81">
        <v>699000</v>
      </c>
      <c r="J167" s="81" t="s">
        <v>241</v>
      </c>
      <c r="K167" s="44" t="s">
        <v>661</v>
      </c>
      <c r="L167" s="44" t="str">
        <f t="shared" si="10"/>
        <v>699000_Technical account</v>
      </c>
      <c r="M167" s="82" t="s">
        <v>350</v>
      </c>
      <c r="N167" s="83" t="s">
        <v>203</v>
      </c>
      <c r="O167" s="84" t="s">
        <v>310</v>
      </c>
      <c r="P167" s="84" t="s">
        <v>310</v>
      </c>
      <c r="Q167" s="84" t="s">
        <v>310</v>
      </c>
      <c r="R167" s="84" t="s">
        <v>310</v>
      </c>
      <c r="S167" s="84" t="s">
        <v>310</v>
      </c>
      <c r="T167" s="84" t="s">
        <v>310</v>
      </c>
      <c r="U167" s="84" t="s">
        <v>310</v>
      </c>
      <c r="V167" s="84" t="s">
        <v>310</v>
      </c>
      <c r="W167" s="84" t="s">
        <v>310</v>
      </c>
      <c r="X167" s="84" t="s">
        <v>310</v>
      </c>
      <c r="Y167" s="84" t="s">
        <v>310</v>
      </c>
      <c r="Z167" s="84" t="s">
        <v>310</v>
      </c>
      <c r="AA167" s="84" t="s">
        <v>310</v>
      </c>
      <c r="AB167" s="84" t="s">
        <v>310</v>
      </c>
      <c r="AC167" s="84" t="s">
        <v>310</v>
      </c>
      <c r="AD167" s="84" t="s">
        <v>310</v>
      </c>
      <c r="AE167" s="84" t="s">
        <v>310</v>
      </c>
      <c r="AF167" s="84" t="s">
        <v>310</v>
      </c>
      <c r="AG167" s="84" t="s">
        <v>310</v>
      </c>
      <c r="AH167" s="84" t="s">
        <v>310</v>
      </c>
      <c r="AI167" s="84" t="s">
        <v>310</v>
      </c>
      <c r="AJ167" s="84" t="s">
        <v>310</v>
      </c>
      <c r="AK167" s="84" t="s">
        <v>310</v>
      </c>
      <c r="AL167" s="84" t="s">
        <v>310</v>
      </c>
      <c r="AM167" s="84" t="s">
        <v>310</v>
      </c>
      <c r="AN167" s="84" t="s">
        <v>310</v>
      </c>
      <c r="AO167" s="84" t="s">
        <v>310</v>
      </c>
      <c r="AP167" s="84" t="s">
        <v>310</v>
      </c>
      <c r="AQ167" s="84" t="s">
        <v>310</v>
      </c>
      <c r="AR167" s="84" t="s">
        <v>310</v>
      </c>
      <c r="AS167" s="84" t="s">
        <v>310</v>
      </c>
      <c r="AT167" s="84" t="s">
        <v>310</v>
      </c>
      <c r="AU167" s="84" t="s">
        <v>310</v>
      </c>
      <c r="AV167" s="84" t="s">
        <v>310</v>
      </c>
      <c r="AW167" s="84" t="s">
        <v>310</v>
      </c>
      <c r="AX167" s="84" t="s">
        <v>310</v>
      </c>
      <c r="AY167" s="84" t="s">
        <v>310</v>
      </c>
      <c r="AZ167" s="84" t="s">
        <v>310</v>
      </c>
      <c r="BA167" s="84" t="s">
        <v>310</v>
      </c>
      <c r="BB167" s="84" t="s">
        <v>310</v>
      </c>
      <c r="BC167" s="84" t="s">
        <v>310</v>
      </c>
      <c r="BD167" s="84" t="s">
        <v>310</v>
      </c>
      <c r="BE167" s="84" t="s">
        <v>310</v>
      </c>
      <c r="BF167" s="84" t="s">
        <v>310</v>
      </c>
      <c r="BG167" s="84" t="s">
        <v>310</v>
      </c>
      <c r="BH167" s="84" t="s">
        <v>310</v>
      </c>
      <c r="BI167" s="84" t="s">
        <v>310</v>
      </c>
      <c r="BJ167" s="84" t="s">
        <v>310</v>
      </c>
    </row>
    <row r="168" spans="1:62" s="80" customFormat="1" x14ac:dyDescent="0.3">
      <c r="A168" s="45">
        <v>701001</v>
      </c>
      <c r="B168" s="46" t="s">
        <v>680</v>
      </c>
      <c r="C168" s="46" t="s">
        <v>681</v>
      </c>
      <c r="D168" s="46" t="str">
        <f t="shared" si="11"/>
        <v>701001_Property insurance</v>
      </c>
      <c r="E168" s="76">
        <v>700000</v>
      </c>
      <c r="F168" s="76" t="s">
        <v>243</v>
      </c>
      <c r="G168" s="76" t="s">
        <v>201</v>
      </c>
      <c r="H168" s="77" t="str">
        <f t="shared" si="9"/>
        <v>700000_Professional services</v>
      </c>
      <c r="I168" s="76">
        <v>701000</v>
      </c>
      <c r="J168" s="76" t="s">
        <v>682</v>
      </c>
      <c r="K168" s="76" t="s">
        <v>683</v>
      </c>
      <c r="L168" s="77" t="str">
        <f t="shared" si="10"/>
        <v>701000_Insurance nonpersonal</v>
      </c>
      <c r="M168" s="76" t="s">
        <v>308</v>
      </c>
      <c r="N168" s="78" t="s">
        <v>203</v>
      </c>
      <c r="O168" s="79" t="s">
        <v>203</v>
      </c>
      <c r="P168" s="79" t="s">
        <v>203</v>
      </c>
      <c r="Q168" s="79" t="s">
        <v>203</v>
      </c>
      <c r="R168" s="79" t="s">
        <v>203</v>
      </c>
      <c r="S168" s="79" t="s">
        <v>203</v>
      </c>
      <c r="T168" s="79" t="s">
        <v>203</v>
      </c>
      <c r="U168" s="79" t="s">
        <v>203</v>
      </c>
      <c r="V168" s="79" t="s">
        <v>203</v>
      </c>
      <c r="W168" s="79" t="s">
        <v>203</v>
      </c>
      <c r="X168" s="79" t="s">
        <v>203</v>
      </c>
      <c r="Y168" s="79" t="s">
        <v>203</v>
      </c>
      <c r="Z168" s="79" t="s">
        <v>203</v>
      </c>
      <c r="AA168" s="79" t="s">
        <v>203</v>
      </c>
      <c r="AB168" s="79" t="s">
        <v>203</v>
      </c>
      <c r="AC168" s="79" t="s">
        <v>203</v>
      </c>
      <c r="AD168" s="79" t="s">
        <v>310</v>
      </c>
      <c r="AE168" s="79" t="s">
        <v>310</v>
      </c>
      <c r="AF168" s="79" t="s">
        <v>310</v>
      </c>
      <c r="AG168" s="79" t="s">
        <v>310</v>
      </c>
      <c r="AH168" s="79" t="s">
        <v>310</v>
      </c>
      <c r="AI168" s="79" t="s">
        <v>203</v>
      </c>
      <c r="AJ168" s="79" t="s">
        <v>203</v>
      </c>
      <c r="AK168" s="79" t="s">
        <v>203</v>
      </c>
      <c r="AL168" s="79" t="s">
        <v>203</v>
      </c>
      <c r="AM168" s="79" t="s">
        <v>203</v>
      </c>
      <c r="AN168" s="79" t="s">
        <v>203</v>
      </c>
      <c r="AO168" s="79" t="s">
        <v>203</v>
      </c>
      <c r="AP168" s="79" t="s">
        <v>203</v>
      </c>
      <c r="AQ168" s="79" t="s">
        <v>203</v>
      </c>
      <c r="AR168" s="79" t="s">
        <v>203</v>
      </c>
      <c r="AS168" s="79" t="s">
        <v>203</v>
      </c>
      <c r="AT168" s="79" t="s">
        <v>203</v>
      </c>
      <c r="AU168" s="79" t="s">
        <v>203</v>
      </c>
      <c r="AV168" s="79" t="s">
        <v>203</v>
      </c>
      <c r="AW168" s="79" t="s">
        <v>203</v>
      </c>
      <c r="AX168" s="79" t="s">
        <v>203</v>
      </c>
      <c r="AY168" s="79" t="s">
        <v>203</v>
      </c>
      <c r="AZ168" s="79" t="s">
        <v>203</v>
      </c>
      <c r="BA168" s="79" t="s">
        <v>203</v>
      </c>
      <c r="BB168" s="79" t="s">
        <v>203</v>
      </c>
      <c r="BC168" s="79" t="s">
        <v>203</v>
      </c>
      <c r="BD168" s="79" t="s">
        <v>203</v>
      </c>
      <c r="BE168" s="79" t="s">
        <v>203</v>
      </c>
      <c r="BF168" s="79" t="s">
        <v>203</v>
      </c>
      <c r="BG168" s="79" t="s">
        <v>203</v>
      </c>
      <c r="BH168" s="79" t="s">
        <v>203</v>
      </c>
      <c r="BI168" s="79" t="s">
        <v>203</v>
      </c>
      <c r="BJ168" s="79" t="s">
        <v>203</v>
      </c>
    </row>
    <row r="169" spans="1:62" s="85" customFormat="1" x14ac:dyDescent="0.3">
      <c r="A169" s="43">
        <v>701002</v>
      </c>
      <c r="B169" s="44" t="s">
        <v>684</v>
      </c>
      <c r="C169" s="44" t="s">
        <v>685</v>
      </c>
      <c r="D169" s="44" t="str">
        <f t="shared" si="11"/>
        <v>701002_Liability insurance</v>
      </c>
      <c r="E169" s="81">
        <v>700000</v>
      </c>
      <c r="F169" s="81" t="s">
        <v>243</v>
      </c>
      <c r="G169" s="44" t="s">
        <v>201</v>
      </c>
      <c r="H169" s="44" t="str">
        <f t="shared" si="9"/>
        <v>700000_Professional services</v>
      </c>
      <c r="I169" s="81">
        <v>701000</v>
      </c>
      <c r="J169" s="81" t="s">
        <v>682</v>
      </c>
      <c r="K169" s="44" t="s">
        <v>683</v>
      </c>
      <c r="L169" s="44" t="str">
        <f t="shared" si="10"/>
        <v>701000_Insurance nonpersonal</v>
      </c>
      <c r="M169" s="82" t="s">
        <v>308</v>
      </c>
      <c r="N169" s="83" t="s">
        <v>203</v>
      </c>
      <c r="O169" s="84" t="s">
        <v>203</v>
      </c>
      <c r="P169" s="84" t="s">
        <v>203</v>
      </c>
      <c r="Q169" s="84" t="s">
        <v>203</v>
      </c>
      <c r="R169" s="84" t="s">
        <v>203</v>
      </c>
      <c r="S169" s="84" t="s">
        <v>203</v>
      </c>
      <c r="T169" s="84" t="s">
        <v>203</v>
      </c>
      <c r="U169" s="84" t="s">
        <v>203</v>
      </c>
      <c r="V169" s="84" t="s">
        <v>203</v>
      </c>
      <c r="W169" s="84" t="s">
        <v>203</v>
      </c>
      <c r="X169" s="84" t="s">
        <v>203</v>
      </c>
      <c r="Y169" s="84" t="s">
        <v>203</v>
      </c>
      <c r="Z169" s="84" t="s">
        <v>203</v>
      </c>
      <c r="AA169" s="84" t="s">
        <v>203</v>
      </c>
      <c r="AB169" s="84" t="s">
        <v>203</v>
      </c>
      <c r="AC169" s="84" t="s">
        <v>203</v>
      </c>
      <c r="AD169" s="84" t="s">
        <v>310</v>
      </c>
      <c r="AE169" s="84" t="s">
        <v>310</v>
      </c>
      <c r="AF169" s="84" t="s">
        <v>310</v>
      </c>
      <c r="AG169" s="84" t="s">
        <v>310</v>
      </c>
      <c r="AH169" s="84" t="s">
        <v>310</v>
      </c>
      <c r="AI169" s="84" t="s">
        <v>203</v>
      </c>
      <c r="AJ169" s="84" t="s">
        <v>203</v>
      </c>
      <c r="AK169" s="84" t="s">
        <v>203</v>
      </c>
      <c r="AL169" s="84" t="s">
        <v>203</v>
      </c>
      <c r="AM169" s="84" t="s">
        <v>203</v>
      </c>
      <c r="AN169" s="84" t="s">
        <v>203</v>
      </c>
      <c r="AO169" s="84" t="s">
        <v>203</v>
      </c>
      <c r="AP169" s="84" t="s">
        <v>203</v>
      </c>
      <c r="AQ169" s="84" t="s">
        <v>203</v>
      </c>
      <c r="AR169" s="84" t="s">
        <v>203</v>
      </c>
      <c r="AS169" s="84" t="s">
        <v>203</v>
      </c>
      <c r="AT169" s="84" t="s">
        <v>203</v>
      </c>
      <c r="AU169" s="84" t="s">
        <v>203</v>
      </c>
      <c r="AV169" s="84" t="s">
        <v>203</v>
      </c>
      <c r="AW169" s="84" t="s">
        <v>203</v>
      </c>
      <c r="AX169" s="84" t="s">
        <v>203</v>
      </c>
      <c r="AY169" s="84" t="s">
        <v>203</v>
      </c>
      <c r="AZ169" s="84" t="s">
        <v>203</v>
      </c>
      <c r="BA169" s="84" t="s">
        <v>203</v>
      </c>
      <c r="BB169" s="84" t="s">
        <v>203</v>
      </c>
      <c r="BC169" s="84" t="s">
        <v>203</v>
      </c>
      <c r="BD169" s="84" t="s">
        <v>203</v>
      </c>
      <c r="BE169" s="84" t="s">
        <v>203</v>
      </c>
      <c r="BF169" s="84" t="s">
        <v>203</v>
      </c>
      <c r="BG169" s="84" t="s">
        <v>203</v>
      </c>
      <c r="BH169" s="84" t="s">
        <v>203</v>
      </c>
      <c r="BI169" s="84" t="s">
        <v>203</v>
      </c>
      <c r="BJ169" s="84" t="s">
        <v>203</v>
      </c>
    </row>
    <row r="170" spans="1:62" s="80" customFormat="1" x14ac:dyDescent="0.3">
      <c r="A170" s="45">
        <v>701003</v>
      </c>
      <c r="B170" s="46" t="s">
        <v>686</v>
      </c>
      <c r="C170" s="46" t="s">
        <v>687</v>
      </c>
      <c r="D170" s="46" t="str">
        <f t="shared" si="11"/>
        <v>701003_Construction risks insurance</v>
      </c>
      <c r="E170" s="76">
        <v>700000</v>
      </c>
      <c r="F170" s="76" t="s">
        <v>243</v>
      </c>
      <c r="G170" s="76" t="s">
        <v>201</v>
      </c>
      <c r="H170" s="77" t="str">
        <f t="shared" si="9"/>
        <v>700000_Professional services</v>
      </c>
      <c r="I170" s="76">
        <v>701000</v>
      </c>
      <c r="J170" s="76" t="s">
        <v>682</v>
      </c>
      <c r="K170" s="76" t="s">
        <v>683</v>
      </c>
      <c r="L170" s="77" t="str">
        <f t="shared" si="10"/>
        <v>701000_Insurance nonpersonal</v>
      </c>
      <c r="M170" s="76" t="s">
        <v>308</v>
      </c>
      <c r="N170" s="78" t="s">
        <v>203</v>
      </c>
      <c r="O170" s="79" t="s">
        <v>203</v>
      </c>
      <c r="P170" s="79" t="s">
        <v>203</v>
      </c>
      <c r="Q170" s="79" t="s">
        <v>203</v>
      </c>
      <c r="R170" s="79" t="s">
        <v>203</v>
      </c>
      <c r="S170" s="79" t="s">
        <v>203</v>
      </c>
      <c r="T170" s="79" t="s">
        <v>203</v>
      </c>
      <c r="U170" s="79" t="s">
        <v>203</v>
      </c>
      <c r="V170" s="79" t="s">
        <v>203</v>
      </c>
      <c r="W170" s="79" t="s">
        <v>203</v>
      </c>
      <c r="X170" s="79" t="s">
        <v>203</v>
      </c>
      <c r="Y170" s="79" t="s">
        <v>203</v>
      </c>
      <c r="Z170" s="79" t="s">
        <v>203</v>
      </c>
      <c r="AA170" s="79" t="s">
        <v>203</v>
      </c>
      <c r="AB170" s="79" t="s">
        <v>203</v>
      </c>
      <c r="AC170" s="79" t="s">
        <v>203</v>
      </c>
      <c r="AD170" s="79" t="s">
        <v>310</v>
      </c>
      <c r="AE170" s="79" t="s">
        <v>310</v>
      </c>
      <c r="AF170" s="79" t="s">
        <v>310</v>
      </c>
      <c r="AG170" s="79" t="s">
        <v>310</v>
      </c>
      <c r="AH170" s="79" t="s">
        <v>310</v>
      </c>
      <c r="AI170" s="79" t="s">
        <v>203</v>
      </c>
      <c r="AJ170" s="79" t="s">
        <v>203</v>
      </c>
      <c r="AK170" s="79" t="s">
        <v>203</v>
      </c>
      <c r="AL170" s="79" t="s">
        <v>203</v>
      </c>
      <c r="AM170" s="79" t="s">
        <v>203</v>
      </c>
      <c r="AN170" s="79" t="s">
        <v>203</v>
      </c>
      <c r="AO170" s="79" t="s">
        <v>203</v>
      </c>
      <c r="AP170" s="79" t="s">
        <v>203</v>
      </c>
      <c r="AQ170" s="79" t="s">
        <v>203</v>
      </c>
      <c r="AR170" s="79" t="s">
        <v>203</v>
      </c>
      <c r="AS170" s="79" t="s">
        <v>203</v>
      </c>
      <c r="AT170" s="79" t="s">
        <v>203</v>
      </c>
      <c r="AU170" s="79" t="s">
        <v>203</v>
      </c>
      <c r="AV170" s="79" t="s">
        <v>203</v>
      </c>
      <c r="AW170" s="79" t="s">
        <v>203</v>
      </c>
      <c r="AX170" s="79" t="s">
        <v>203</v>
      </c>
      <c r="AY170" s="79" t="s">
        <v>203</v>
      </c>
      <c r="AZ170" s="79" t="s">
        <v>203</v>
      </c>
      <c r="BA170" s="79" t="s">
        <v>203</v>
      </c>
      <c r="BB170" s="79" t="s">
        <v>203</v>
      </c>
      <c r="BC170" s="79" t="s">
        <v>203</v>
      </c>
      <c r="BD170" s="79" t="s">
        <v>203</v>
      </c>
      <c r="BE170" s="79" t="s">
        <v>203</v>
      </c>
      <c r="BF170" s="79" t="s">
        <v>203</v>
      </c>
      <c r="BG170" s="79" t="s">
        <v>203</v>
      </c>
      <c r="BH170" s="79" t="s">
        <v>203</v>
      </c>
      <c r="BI170" s="79" t="s">
        <v>203</v>
      </c>
      <c r="BJ170" s="79" t="s">
        <v>203</v>
      </c>
    </row>
    <row r="171" spans="1:62" s="85" customFormat="1" x14ac:dyDescent="0.3">
      <c r="A171" s="43">
        <v>702001</v>
      </c>
      <c r="B171" s="44" t="s">
        <v>688</v>
      </c>
      <c r="C171" s="44" t="s">
        <v>689</v>
      </c>
      <c r="D171" s="44" t="str">
        <f t="shared" si="11"/>
        <v>702001_Audit fee</v>
      </c>
      <c r="E171" s="81">
        <v>700000</v>
      </c>
      <c r="F171" s="81" t="s">
        <v>243</v>
      </c>
      <c r="G171" s="44" t="s">
        <v>201</v>
      </c>
      <c r="H171" s="44" t="str">
        <f t="shared" si="9"/>
        <v>700000_Professional services</v>
      </c>
      <c r="I171" s="81">
        <v>702000</v>
      </c>
      <c r="J171" s="81" t="s">
        <v>690</v>
      </c>
      <c r="K171" s="44" t="s">
        <v>691</v>
      </c>
      <c r="L171" s="44" t="str">
        <f t="shared" si="10"/>
        <v>702000_Consulting and legal services</v>
      </c>
      <c r="M171" s="82" t="s">
        <v>308</v>
      </c>
      <c r="N171" s="83" t="s">
        <v>203</v>
      </c>
      <c r="O171" s="84" t="s">
        <v>203</v>
      </c>
      <c r="P171" s="84" t="s">
        <v>203</v>
      </c>
      <c r="Q171" s="84" t="s">
        <v>203</v>
      </c>
      <c r="R171" s="84" t="s">
        <v>203</v>
      </c>
      <c r="S171" s="84" t="s">
        <v>203</v>
      </c>
      <c r="T171" s="84" t="s">
        <v>203</v>
      </c>
      <c r="U171" s="84" t="s">
        <v>203</v>
      </c>
      <c r="V171" s="84" t="s">
        <v>203</v>
      </c>
      <c r="W171" s="84" t="s">
        <v>203</v>
      </c>
      <c r="X171" s="84" t="s">
        <v>203</v>
      </c>
      <c r="Y171" s="84" t="s">
        <v>203</v>
      </c>
      <c r="Z171" s="84" t="s">
        <v>203</v>
      </c>
      <c r="AA171" s="84" t="s">
        <v>203</v>
      </c>
      <c r="AB171" s="84" t="s">
        <v>203</v>
      </c>
      <c r="AC171" s="84" t="s">
        <v>203</v>
      </c>
      <c r="AD171" s="84" t="s">
        <v>203</v>
      </c>
      <c r="AE171" s="84" t="s">
        <v>203</v>
      </c>
      <c r="AF171" s="84" t="s">
        <v>203</v>
      </c>
      <c r="AG171" s="84" t="s">
        <v>203</v>
      </c>
      <c r="AH171" s="84" t="s">
        <v>203</v>
      </c>
      <c r="AI171" s="84" t="s">
        <v>203</v>
      </c>
      <c r="AJ171" s="84" t="s">
        <v>203</v>
      </c>
      <c r="AK171" s="84" t="s">
        <v>203</v>
      </c>
      <c r="AL171" s="84" t="s">
        <v>310</v>
      </c>
      <c r="AM171" s="84" t="s">
        <v>203</v>
      </c>
      <c r="AN171" s="84" t="s">
        <v>203</v>
      </c>
      <c r="AO171" s="84" t="s">
        <v>203</v>
      </c>
      <c r="AP171" s="84" t="s">
        <v>203</v>
      </c>
      <c r="AQ171" s="84" t="s">
        <v>203</v>
      </c>
      <c r="AR171" s="84" t="s">
        <v>203</v>
      </c>
      <c r="AS171" s="84" t="s">
        <v>203</v>
      </c>
      <c r="AT171" s="84" t="s">
        <v>203</v>
      </c>
      <c r="AU171" s="84" t="s">
        <v>203</v>
      </c>
      <c r="AV171" s="84" t="s">
        <v>203</v>
      </c>
      <c r="AW171" s="84" t="s">
        <v>203</v>
      </c>
      <c r="AX171" s="84" t="s">
        <v>203</v>
      </c>
      <c r="AY171" s="84" t="s">
        <v>203</v>
      </c>
      <c r="AZ171" s="84" t="s">
        <v>203</v>
      </c>
      <c r="BA171" s="84" t="s">
        <v>203</v>
      </c>
      <c r="BB171" s="84" t="s">
        <v>203</v>
      </c>
      <c r="BC171" s="84" t="s">
        <v>203</v>
      </c>
      <c r="BD171" s="84" t="s">
        <v>203</v>
      </c>
      <c r="BE171" s="84" t="s">
        <v>203</v>
      </c>
      <c r="BF171" s="84" t="s">
        <v>203</v>
      </c>
      <c r="BG171" s="84" t="s">
        <v>203</v>
      </c>
      <c r="BH171" s="84" t="s">
        <v>203</v>
      </c>
      <c r="BI171" s="84" t="s">
        <v>203</v>
      </c>
      <c r="BJ171" s="84" t="s">
        <v>203</v>
      </c>
    </row>
    <row r="172" spans="1:62" s="80" customFormat="1" x14ac:dyDescent="0.3">
      <c r="A172" s="45">
        <v>702002</v>
      </c>
      <c r="B172" s="46" t="s">
        <v>17</v>
      </c>
      <c r="C172" s="46" t="s">
        <v>692</v>
      </c>
      <c r="D172" s="46" t="str">
        <f t="shared" si="11"/>
        <v>702002_Consulting services</v>
      </c>
      <c r="E172" s="76">
        <v>700000</v>
      </c>
      <c r="F172" s="76" t="s">
        <v>243</v>
      </c>
      <c r="G172" s="76" t="s">
        <v>201</v>
      </c>
      <c r="H172" s="77" t="str">
        <f t="shared" si="9"/>
        <v>700000_Professional services</v>
      </c>
      <c r="I172" s="76">
        <v>702000</v>
      </c>
      <c r="J172" s="76" t="s">
        <v>690</v>
      </c>
      <c r="K172" s="76" t="s">
        <v>691</v>
      </c>
      <c r="L172" s="77" t="str">
        <f t="shared" si="10"/>
        <v>702000_Consulting and legal services</v>
      </c>
      <c r="M172" s="76" t="s">
        <v>308</v>
      </c>
      <c r="N172" s="78" t="s">
        <v>203</v>
      </c>
      <c r="O172" s="79" t="s">
        <v>310</v>
      </c>
      <c r="P172" s="79" t="s">
        <v>310</v>
      </c>
      <c r="Q172" s="79" t="s">
        <v>310</v>
      </c>
      <c r="R172" s="79" t="s">
        <v>310</v>
      </c>
      <c r="S172" s="79" t="s">
        <v>310</v>
      </c>
      <c r="T172" s="79" t="s">
        <v>310</v>
      </c>
      <c r="U172" s="79" t="s">
        <v>310</v>
      </c>
      <c r="V172" s="79" t="s">
        <v>310</v>
      </c>
      <c r="W172" s="79" t="s">
        <v>310</v>
      </c>
      <c r="X172" s="79" t="s">
        <v>310</v>
      </c>
      <c r="Y172" s="79" t="s">
        <v>310</v>
      </c>
      <c r="Z172" s="79" t="s">
        <v>310</v>
      </c>
      <c r="AA172" s="79" t="s">
        <v>310</v>
      </c>
      <c r="AB172" s="79" t="s">
        <v>310</v>
      </c>
      <c r="AC172" s="79" t="s">
        <v>310</v>
      </c>
      <c r="AD172" s="79" t="s">
        <v>310</v>
      </c>
      <c r="AE172" s="79" t="s">
        <v>310</v>
      </c>
      <c r="AF172" s="79" t="s">
        <v>310</v>
      </c>
      <c r="AG172" s="79" t="s">
        <v>310</v>
      </c>
      <c r="AH172" s="79" t="s">
        <v>310</v>
      </c>
      <c r="AI172" s="79" t="s">
        <v>310</v>
      </c>
      <c r="AJ172" s="79" t="s">
        <v>310</v>
      </c>
      <c r="AK172" s="79" t="s">
        <v>310</v>
      </c>
      <c r="AL172" s="79" t="s">
        <v>310</v>
      </c>
      <c r="AM172" s="79" t="s">
        <v>310</v>
      </c>
      <c r="AN172" s="79" t="s">
        <v>310</v>
      </c>
      <c r="AO172" s="79" t="s">
        <v>310</v>
      </c>
      <c r="AP172" s="79" t="s">
        <v>310</v>
      </c>
      <c r="AQ172" s="79" t="s">
        <v>310</v>
      </c>
      <c r="AR172" s="79" t="s">
        <v>310</v>
      </c>
      <c r="AS172" s="79" t="s">
        <v>310</v>
      </c>
      <c r="AT172" s="79" t="s">
        <v>310</v>
      </c>
      <c r="AU172" s="79" t="s">
        <v>310</v>
      </c>
      <c r="AV172" s="79" t="s">
        <v>310</v>
      </c>
      <c r="AW172" s="79" t="s">
        <v>310</v>
      </c>
      <c r="AX172" s="79" t="s">
        <v>310</v>
      </c>
      <c r="AY172" s="79" t="s">
        <v>310</v>
      </c>
      <c r="AZ172" s="79" t="s">
        <v>310</v>
      </c>
      <c r="BA172" s="79" t="s">
        <v>310</v>
      </c>
      <c r="BB172" s="79" t="s">
        <v>310</v>
      </c>
      <c r="BC172" s="79" t="s">
        <v>310</v>
      </c>
      <c r="BD172" s="79" t="s">
        <v>310</v>
      </c>
      <c r="BE172" s="79" t="s">
        <v>310</v>
      </c>
      <c r="BF172" s="79" t="s">
        <v>310</v>
      </c>
      <c r="BG172" s="79" t="s">
        <v>310</v>
      </c>
      <c r="BH172" s="79" t="s">
        <v>310</v>
      </c>
      <c r="BI172" s="79" t="s">
        <v>310</v>
      </c>
      <c r="BJ172" s="79" t="s">
        <v>310</v>
      </c>
    </row>
    <row r="173" spans="1:62" s="85" customFormat="1" x14ac:dyDescent="0.3">
      <c r="A173" s="43">
        <v>702003</v>
      </c>
      <c r="B173" s="44" t="s">
        <v>693</v>
      </c>
      <c r="C173" s="44" t="s">
        <v>694</v>
      </c>
      <c r="D173" s="44" t="str">
        <f t="shared" si="11"/>
        <v>702003_Legal services - other</v>
      </c>
      <c r="E173" s="81">
        <v>700000</v>
      </c>
      <c r="F173" s="81" t="s">
        <v>243</v>
      </c>
      <c r="G173" s="44" t="s">
        <v>201</v>
      </c>
      <c r="H173" s="44" t="str">
        <f t="shared" si="9"/>
        <v>700000_Professional services</v>
      </c>
      <c r="I173" s="81">
        <v>702000</v>
      </c>
      <c r="J173" s="81" t="s">
        <v>690</v>
      </c>
      <c r="K173" s="44" t="s">
        <v>691</v>
      </c>
      <c r="L173" s="44" t="str">
        <f t="shared" si="10"/>
        <v>702000_Consulting and legal services</v>
      </c>
      <c r="M173" s="82" t="s">
        <v>308</v>
      </c>
      <c r="N173" s="83" t="s">
        <v>203</v>
      </c>
      <c r="O173" s="84" t="s">
        <v>310</v>
      </c>
      <c r="P173" s="84" t="s">
        <v>310</v>
      </c>
      <c r="Q173" s="84" t="s">
        <v>310</v>
      </c>
      <c r="R173" s="84" t="s">
        <v>310</v>
      </c>
      <c r="S173" s="84" t="s">
        <v>310</v>
      </c>
      <c r="T173" s="84" t="s">
        <v>310</v>
      </c>
      <c r="U173" s="84" t="s">
        <v>310</v>
      </c>
      <c r="V173" s="84" t="s">
        <v>310</v>
      </c>
      <c r="W173" s="84" t="s">
        <v>310</v>
      </c>
      <c r="X173" s="84" t="s">
        <v>310</v>
      </c>
      <c r="Y173" s="84" t="s">
        <v>310</v>
      </c>
      <c r="Z173" s="84" t="s">
        <v>310</v>
      </c>
      <c r="AA173" s="84" t="s">
        <v>310</v>
      </c>
      <c r="AB173" s="84" t="s">
        <v>310</v>
      </c>
      <c r="AC173" s="84" t="s">
        <v>310</v>
      </c>
      <c r="AD173" s="84" t="s">
        <v>310</v>
      </c>
      <c r="AE173" s="84" t="s">
        <v>310</v>
      </c>
      <c r="AF173" s="84" t="s">
        <v>310</v>
      </c>
      <c r="AG173" s="84" t="s">
        <v>310</v>
      </c>
      <c r="AH173" s="84" t="s">
        <v>310</v>
      </c>
      <c r="AI173" s="84" t="s">
        <v>310</v>
      </c>
      <c r="AJ173" s="84" t="s">
        <v>310</v>
      </c>
      <c r="AK173" s="84" t="s">
        <v>310</v>
      </c>
      <c r="AL173" s="84" t="s">
        <v>310</v>
      </c>
      <c r="AM173" s="84" t="s">
        <v>310</v>
      </c>
      <c r="AN173" s="84" t="s">
        <v>310</v>
      </c>
      <c r="AO173" s="84" t="s">
        <v>310</v>
      </c>
      <c r="AP173" s="84" t="s">
        <v>310</v>
      </c>
      <c r="AQ173" s="84" t="s">
        <v>310</v>
      </c>
      <c r="AR173" s="84" t="s">
        <v>310</v>
      </c>
      <c r="AS173" s="84" t="s">
        <v>310</v>
      </c>
      <c r="AT173" s="84" t="s">
        <v>310</v>
      </c>
      <c r="AU173" s="84" t="s">
        <v>310</v>
      </c>
      <c r="AV173" s="84" t="s">
        <v>310</v>
      </c>
      <c r="AW173" s="84" t="s">
        <v>310</v>
      </c>
      <c r="AX173" s="84" t="s">
        <v>310</v>
      </c>
      <c r="AY173" s="84" t="s">
        <v>310</v>
      </c>
      <c r="AZ173" s="84" t="s">
        <v>310</v>
      </c>
      <c r="BA173" s="84" t="s">
        <v>310</v>
      </c>
      <c r="BB173" s="84" t="s">
        <v>310</v>
      </c>
      <c r="BC173" s="84" t="s">
        <v>310</v>
      </c>
      <c r="BD173" s="84" t="s">
        <v>310</v>
      </c>
      <c r="BE173" s="84" t="s">
        <v>310</v>
      </c>
      <c r="BF173" s="84" t="s">
        <v>310</v>
      </c>
      <c r="BG173" s="84" t="s">
        <v>310</v>
      </c>
      <c r="BH173" s="84" t="s">
        <v>310</v>
      </c>
      <c r="BI173" s="84" t="s">
        <v>310</v>
      </c>
      <c r="BJ173" s="84" t="s">
        <v>310</v>
      </c>
    </row>
    <row r="174" spans="1:62" s="80" customFormat="1" x14ac:dyDescent="0.3">
      <c r="A174" s="45">
        <v>702004</v>
      </c>
      <c r="B174" s="46" t="s">
        <v>695</v>
      </c>
      <c r="C174" s="46" t="s">
        <v>696</v>
      </c>
      <c r="D174" s="46" t="str">
        <f t="shared" si="11"/>
        <v>702004_Research and development works</v>
      </c>
      <c r="E174" s="76">
        <v>700000</v>
      </c>
      <c r="F174" s="76" t="s">
        <v>243</v>
      </c>
      <c r="G174" s="76" t="s">
        <v>201</v>
      </c>
      <c r="H174" s="77" t="str">
        <f t="shared" si="9"/>
        <v>700000_Professional services</v>
      </c>
      <c r="I174" s="76">
        <v>702000</v>
      </c>
      <c r="J174" s="76" t="s">
        <v>690</v>
      </c>
      <c r="K174" s="76" t="s">
        <v>691</v>
      </c>
      <c r="L174" s="77" t="str">
        <f t="shared" si="10"/>
        <v>702000_Consulting and legal services</v>
      </c>
      <c r="M174" s="76" t="s">
        <v>308</v>
      </c>
      <c r="N174" s="78" t="s">
        <v>203</v>
      </c>
      <c r="O174" s="79" t="s">
        <v>310</v>
      </c>
      <c r="P174" s="79" t="s">
        <v>310</v>
      </c>
      <c r="Q174" s="79" t="s">
        <v>310</v>
      </c>
      <c r="R174" s="79" t="s">
        <v>310</v>
      </c>
      <c r="S174" s="79" t="s">
        <v>310</v>
      </c>
      <c r="T174" s="79" t="s">
        <v>310</v>
      </c>
      <c r="U174" s="79" t="s">
        <v>310</v>
      </c>
      <c r="V174" s="79" t="s">
        <v>310</v>
      </c>
      <c r="W174" s="79" t="s">
        <v>310</v>
      </c>
      <c r="X174" s="79" t="s">
        <v>310</v>
      </c>
      <c r="Y174" s="79" t="s">
        <v>310</v>
      </c>
      <c r="Z174" s="79" t="s">
        <v>310</v>
      </c>
      <c r="AA174" s="79" t="s">
        <v>310</v>
      </c>
      <c r="AB174" s="79" t="s">
        <v>310</v>
      </c>
      <c r="AC174" s="79" t="s">
        <v>310</v>
      </c>
      <c r="AD174" s="79" t="s">
        <v>310</v>
      </c>
      <c r="AE174" s="79" t="s">
        <v>310</v>
      </c>
      <c r="AF174" s="79" t="s">
        <v>310</v>
      </c>
      <c r="AG174" s="79" t="s">
        <v>310</v>
      </c>
      <c r="AH174" s="79" t="s">
        <v>310</v>
      </c>
      <c r="AI174" s="79" t="s">
        <v>310</v>
      </c>
      <c r="AJ174" s="79" t="s">
        <v>310</v>
      </c>
      <c r="AK174" s="79" t="s">
        <v>310</v>
      </c>
      <c r="AL174" s="79" t="s">
        <v>310</v>
      </c>
      <c r="AM174" s="79" t="s">
        <v>310</v>
      </c>
      <c r="AN174" s="79" t="s">
        <v>310</v>
      </c>
      <c r="AO174" s="79" t="s">
        <v>310</v>
      </c>
      <c r="AP174" s="79" t="s">
        <v>310</v>
      </c>
      <c r="AQ174" s="79" t="s">
        <v>310</v>
      </c>
      <c r="AR174" s="79" t="s">
        <v>310</v>
      </c>
      <c r="AS174" s="79" t="s">
        <v>310</v>
      </c>
      <c r="AT174" s="79" t="s">
        <v>310</v>
      </c>
      <c r="AU174" s="79" t="s">
        <v>310</v>
      </c>
      <c r="AV174" s="79" t="s">
        <v>310</v>
      </c>
      <c r="AW174" s="79" t="s">
        <v>310</v>
      </c>
      <c r="AX174" s="79" t="s">
        <v>310</v>
      </c>
      <c r="AY174" s="79" t="s">
        <v>310</v>
      </c>
      <c r="AZ174" s="79" t="s">
        <v>310</v>
      </c>
      <c r="BA174" s="79" t="s">
        <v>310</v>
      </c>
      <c r="BB174" s="79" t="s">
        <v>310</v>
      </c>
      <c r="BC174" s="79" t="s">
        <v>310</v>
      </c>
      <c r="BD174" s="79" t="s">
        <v>310</v>
      </c>
      <c r="BE174" s="79" t="s">
        <v>310</v>
      </c>
      <c r="BF174" s="79" t="s">
        <v>310</v>
      </c>
      <c r="BG174" s="79" t="s">
        <v>310</v>
      </c>
      <c r="BH174" s="79" t="s">
        <v>310</v>
      </c>
      <c r="BI174" s="79" t="s">
        <v>310</v>
      </c>
      <c r="BJ174" s="79" t="s">
        <v>310</v>
      </c>
    </row>
    <row r="175" spans="1:62" s="85" customFormat="1" x14ac:dyDescent="0.3">
      <c r="A175" s="43">
        <v>703001</v>
      </c>
      <c r="B175" s="44" t="s">
        <v>697</v>
      </c>
      <c r="C175" s="44" t="s">
        <v>698</v>
      </c>
      <c r="D175" s="44" t="str">
        <f t="shared" si="11"/>
        <v>703001_Translation services</v>
      </c>
      <c r="E175" s="81">
        <v>700000</v>
      </c>
      <c r="F175" s="81" t="s">
        <v>243</v>
      </c>
      <c r="G175" s="44" t="s">
        <v>201</v>
      </c>
      <c r="H175" s="44" t="str">
        <f t="shared" si="9"/>
        <v>700000_Professional services</v>
      </c>
      <c r="I175" s="81">
        <v>703000</v>
      </c>
      <c r="J175" s="81" t="s">
        <v>244</v>
      </c>
      <c r="K175" s="44" t="s">
        <v>699</v>
      </c>
      <c r="L175" s="44" t="str">
        <f t="shared" si="10"/>
        <v>703000_Other professional services</v>
      </c>
      <c r="M175" s="82" t="s">
        <v>308</v>
      </c>
      <c r="N175" s="83" t="s">
        <v>203</v>
      </c>
      <c r="O175" s="84" t="s">
        <v>310</v>
      </c>
      <c r="P175" s="84" t="s">
        <v>310</v>
      </c>
      <c r="Q175" s="84" t="s">
        <v>310</v>
      </c>
      <c r="R175" s="84" t="s">
        <v>310</v>
      </c>
      <c r="S175" s="84" t="s">
        <v>310</v>
      </c>
      <c r="T175" s="84" t="s">
        <v>310</v>
      </c>
      <c r="U175" s="84" t="s">
        <v>310</v>
      </c>
      <c r="V175" s="84" t="s">
        <v>310</v>
      </c>
      <c r="W175" s="84" t="s">
        <v>310</v>
      </c>
      <c r="X175" s="84" t="s">
        <v>310</v>
      </c>
      <c r="Y175" s="84" t="s">
        <v>310</v>
      </c>
      <c r="Z175" s="84" t="s">
        <v>310</v>
      </c>
      <c r="AA175" s="84" t="s">
        <v>310</v>
      </c>
      <c r="AB175" s="84" t="s">
        <v>310</v>
      </c>
      <c r="AC175" s="84" t="s">
        <v>310</v>
      </c>
      <c r="AD175" s="84" t="s">
        <v>310</v>
      </c>
      <c r="AE175" s="84" t="s">
        <v>310</v>
      </c>
      <c r="AF175" s="84" t="s">
        <v>310</v>
      </c>
      <c r="AG175" s="84" t="s">
        <v>310</v>
      </c>
      <c r="AH175" s="84" t="s">
        <v>310</v>
      </c>
      <c r="AI175" s="84" t="s">
        <v>310</v>
      </c>
      <c r="AJ175" s="84" t="s">
        <v>310</v>
      </c>
      <c r="AK175" s="84" t="s">
        <v>310</v>
      </c>
      <c r="AL175" s="84" t="s">
        <v>310</v>
      </c>
      <c r="AM175" s="84" t="s">
        <v>310</v>
      </c>
      <c r="AN175" s="84" t="s">
        <v>310</v>
      </c>
      <c r="AO175" s="84" t="s">
        <v>310</v>
      </c>
      <c r="AP175" s="84" t="s">
        <v>310</v>
      </c>
      <c r="AQ175" s="84" t="s">
        <v>310</v>
      </c>
      <c r="AR175" s="84" t="s">
        <v>310</v>
      </c>
      <c r="AS175" s="84" t="s">
        <v>310</v>
      </c>
      <c r="AT175" s="84" t="s">
        <v>310</v>
      </c>
      <c r="AU175" s="84" t="s">
        <v>310</v>
      </c>
      <c r="AV175" s="84" t="s">
        <v>310</v>
      </c>
      <c r="AW175" s="84" t="s">
        <v>310</v>
      </c>
      <c r="AX175" s="84" t="s">
        <v>310</v>
      </c>
      <c r="AY175" s="84" t="s">
        <v>310</v>
      </c>
      <c r="AZ175" s="84" t="s">
        <v>310</v>
      </c>
      <c r="BA175" s="84" t="s">
        <v>310</v>
      </c>
      <c r="BB175" s="84" t="s">
        <v>310</v>
      </c>
      <c r="BC175" s="84" t="s">
        <v>310</v>
      </c>
      <c r="BD175" s="84" t="s">
        <v>310</v>
      </c>
      <c r="BE175" s="84" t="s">
        <v>310</v>
      </c>
      <c r="BF175" s="84" t="s">
        <v>310</v>
      </c>
      <c r="BG175" s="84" t="s">
        <v>310</v>
      </c>
      <c r="BH175" s="84" t="s">
        <v>310</v>
      </c>
      <c r="BI175" s="84" t="s">
        <v>310</v>
      </c>
      <c r="BJ175" s="84" t="s">
        <v>310</v>
      </c>
    </row>
    <row r="176" spans="1:62" s="80" customFormat="1" x14ac:dyDescent="0.3">
      <c r="A176" s="45">
        <v>703002</v>
      </c>
      <c r="B176" s="46" t="s">
        <v>700</v>
      </c>
      <c r="C176" s="46" t="s">
        <v>701</v>
      </c>
      <c r="D176" s="46" t="str">
        <f t="shared" si="11"/>
        <v>703002_Outstaffing services</v>
      </c>
      <c r="E176" s="76">
        <v>700000</v>
      </c>
      <c r="F176" s="76" t="s">
        <v>243</v>
      </c>
      <c r="G176" s="76" t="s">
        <v>201</v>
      </c>
      <c r="H176" s="77" t="str">
        <f t="shared" si="9"/>
        <v>700000_Professional services</v>
      </c>
      <c r="I176" s="76">
        <v>703000</v>
      </c>
      <c r="J176" s="76" t="s">
        <v>244</v>
      </c>
      <c r="K176" s="76" t="s">
        <v>699</v>
      </c>
      <c r="L176" s="77" t="str">
        <f t="shared" si="10"/>
        <v>703000_Other professional services</v>
      </c>
      <c r="M176" s="76" t="s">
        <v>308</v>
      </c>
      <c r="N176" s="78" t="s">
        <v>702</v>
      </c>
      <c r="O176" s="79" t="s">
        <v>203</v>
      </c>
      <c r="P176" s="79" t="s">
        <v>203</v>
      </c>
      <c r="Q176" s="79" t="s">
        <v>203</v>
      </c>
      <c r="R176" s="79" t="s">
        <v>203</v>
      </c>
      <c r="S176" s="79" t="s">
        <v>203</v>
      </c>
      <c r="T176" s="79" t="s">
        <v>203</v>
      </c>
      <c r="U176" s="79" t="s">
        <v>203</v>
      </c>
      <c r="V176" s="79" t="s">
        <v>203</v>
      </c>
      <c r="W176" s="79" t="s">
        <v>203</v>
      </c>
      <c r="X176" s="79" t="s">
        <v>203</v>
      </c>
      <c r="Y176" s="79" t="s">
        <v>203</v>
      </c>
      <c r="Z176" s="79" t="s">
        <v>203</v>
      </c>
      <c r="AA176" s="79" t="s">
        <v>203</v>
      </c>
      <c r="AB176" s="79" t="s">
        <v>203</v>
      </c>
      <c r="AC176" s="79" t="s">
        <v>203</v>
      </c>
      <c r="AD176" s="79" t="s">
        <v>310</v>
      </c>
      <c r="AE176" s="79" t="s">
        <v>310</v>
      </c>
      <c r="AF176" s="79" t="s">
        <v>310</v>
      </c>
      <c r="AG176" s="79" t="s">
        <v>310</v>
      </c>
      <c r="AH176" s="79" t="s">
        <v>310</v>
      </c>
      <c r="AI176" s="79" t="s">
        <v>203</v>
      </c>
      <c r="AJ176" s="79" t="s">
        <v>310</v>
      </c>
      <c r="AK176" s="79" t="s">
        <v>310</v>
      </c>
      <c r="AL176" s="79" t="s">
        <v>310</v>
      </c>
      <c r="AM176" s="79" t="s">
        <v>203</v>
      </c>
      <c r="AN176" s="79" t="s">
        <v>203</v>
      </c>
      <c r="AO176" s="79" t="s">
        <v>203</v>
      </c>
      <c r="AP176" s="79" t="s">
        <v>203</v>
      </c>
      <c r="AQ176" s="79" t="s">
        <v>203</v>
      </c>
      <c r="AR176" s="79" t="s">
        <v>203</v>
      </c>
      <c r="AS176" s="79" t="s">
        <v>203</v>
      </c>
      <c r="AT176" s="79" t="s">
        <v>310</v>
      </c>
      <c r="AU176" s="79" t="s">
        <v>310</v>
      </c>
      <c r="AV176" s="79" t="s">
        <v>310</v>
      </c>
      <c r="AW176" s="79" t="s">
        <v>310</v>
      </c>
      <c r="AX176" s="79" t="s">
        <v>310</v>
      </c>
      <c r="AY176" s="79" t="s">
        <v>310</v>
      </c>
      <c r="AZ176" s="79" t="s">
        <v>310</v>
      </c>
      <c r="BA176" s="79" t="s">
        <v>310</v>
      </c>
      <c r="BB176" s="79" t="s">
        <v>310</v>
      </c>
      <c r="BC176" s="79" t="s">
        <v>310</v>
      </c>
      <c r="BD176" s="79" t="s">
        <v>310</v>
      </c>
      <c r="BE176" s="79" t="s">
        <v>310</v>
      </c>
      <c r="BF176" s="79" t="s">
        <v>310</v>
      </c>
      <c r="BG176" s="79" t="s">
        <v>310</v>
      </c>
      <c r="BH176" s="79" t="s">
        <v>310</v>
      </c>
      <c r="BI176" s="79" t="s">
        <v>310</v>
      </c>
      <c r="BJ176" s="79" t="s">
        <v>310</v>
      </c>
    </row>
    <row r="177" spans="1:62" s="85" customFormat="1" x14ac:dyDescent="0.3">
      <c r="A177" s="43">
        <v>703003</v>
      </c>
      <c r="B177" s="44" t="s">
        <v>46</v>
      </c>
      <c r="C177" s="44" t="s">
        <v>703</v>
      </c>
      <c r="D177" s="44" t="str">
        <f t="shared" si="11"/>
        <v>703003_Сustoms broker services</v>
      </c>
      <c r="E177" s="81">
        <v>700000</v>
      </c>
      <c r="F177" s="81" t="s">
        <v>243</v>
      </c>
      <c r="G177" s="44" t="s">
        <v>201</v>
      </c>
      <c r="H177" s="44" t="str">
        <f t="shared" si="9"/>
        <v>700000_Professional services</v>
      </c>
      <c r="I177" s="81">
        <v>703000</v>
      </c>
      <c r="J177" s="81" t="s">
        <v>244</v>
      </c>
      <c r="K177" s="44" t="s">
        <v>699</v>
      </c>
      <c r="L177" s="44" t="str">
        <f t="shared" si="10"/>
        <v>703000_Other professional services</v>
      </c>
      <c r="M177" s="82" t="s">
        <v>308</v>
      </c>
      <c r="N177" s="83" t="s">
        <v>203</v>
      </c>
      <c r="O177" s="84" t="s">
        <v>203</v>
      </c>
      <c r="P177" s="84" t="s">
        <v>203</v>
      </c>
      <c r="Q177" s="84" t="s">
        <v>203</v>
      </c>
      <c r="R177" s="84" t="s">
        <v>203</v>
      </c>
      <c r="S177" s="84" t="s">
        <v>203</v>
      </c>
      <c r="T177" s="84" t="s">
        <v>203</v>
      </c>
      <c r="U177" s="84" t="s">
        <v>203</v>
      </c>
      <c r="V177" s="84" t="s">
        <v>203</v>
      </c>
      <c r="W177" s="84" t="s">
        <v>203</v>
      </c>
      <c r="X177" s="84" t="s">
        <v>203</v>
      </c>
      <c r="Y177" s="84" t="s">
        <v>203</v>
      </c>
      <c r="Z177" s="84" t="s">
        <v>203</v>
      </c>
      <c r="AA177" s="84" t="s">
        <v>203</v>
      </c>
      <c r="AB177" s="84" t="s">
        <v>203</v>
      </c>
      <c r="AC177" s="84" t="s">
        <v>203</v>
      </c>
      <c r="AD177" s="84" t="s">
        <v>310</v>
      </c>
      <c r="AE177" s="84" t="s">
        <v>310</v>
      </c>
      <c r="AF177" s="84" t="s">
        <v>310</v>
      </c>
      <c r="AG177" s="84" t="s">
        <v>310</v>
      </c>
      <c r="AH177" s="84" t="s">
        <v>310</v>
      </c>
      <c r="AI177" s="84" t="s">
        <v>203</v>
      </c>
      <c r="AJ177" s="84" t="s">
        <v>203</v>
      </c>
      <c r="AK177" s="84" t="s">
        <v>203</v>
      </c>
      <c r="AL177" s="84" t="s">
        <v>203</v>
      </c>
      <c r="AM177" s="84" t="s">
        <v>203</v>
      </c>
      <c r="AN177" s="84" t="s">
        <v>203</v>
      </c>
      <c r="AO177" s="84" t="s">
        <v>203</v>
      </c>
      <c r="AP177" s="84" t="s">
        <v>203</v>
      </c>
      <c r="AQ177" s="84" t="s">
        <v>203</v>
      </c>
      <c r="AR177" s="84" t="s">
        <v>203</v>
      </c>
      <c r="AS177" s="84" t="s">
        <v>203</v>
      </c>
      <c r="AT177" s="84" t="s">
        <v>203</v>
      </c>
      <c r="AU177" s="84" t="s">
        <v>203</v>
      </c>
      <c r="AV177" s="84" t="s">
        <v>203</v>
      </c>
      <c r="AW177" s="84" t="s">
        <v>203</v>
      </c>
      <c r="AX177" s="84" t="s">
        <v>310</v>
      </c>
      <c r="AY177" s="84" t="s">
        <v>310</v>
      </c>
      <c r="AZ177" s="84" t="s">
        <v>310</v>
      </c>
      <c r="BA177" s="84" t="s">
        <v>310</v>
      </c>
      <c r="BB177" s="84" t="s">
        <v>310</v>
      </c>
      <c r="BC177" s="84" t="s">
        <v>310</v>
      </c>
      <c r="BD177" s="84" t="s">
        <v>310</v>
      </c>
      <c r="BE177" s="84" t="s">
        <v>310</v>
      </c>
      <c r="BF177" s="84" t="s">
        <v>310</v>
      </c>
      <c r="BG177" s="84" t="s">
        <v>310</v>
      </c>
      <c r="BH177" s="84" t="s">
        <v>310</v>
      </c>
      <c r="BI177" s="84" t="s">
        <v>310</v>
      </c>
      <c r="BJ177" s="84" t="s">
        <v>310</v>
      </c>
    </row>
    <row r="178" spans="1:62" s="80" customFormat="1" x14ac:dyDescent="0.3">
      <c r="A178" s="45">
        <v>703004</v>
      </c>
      <c r="B178" s="46" t="s">
        <v>704</v>
      </c>
      <c r="C178" s="46" t="s">
        <v>705</v>
      </c>
      <c r="D178" s="46" t="str">
        <f t="shared" si="11"/>
        <v>703004_IT systems implementation service</v>
      </c>
      <c r="E178" s="76">
        <v>700000</v>
      </c>
      <c r="F178" s="76" t="s">
        <v>243</v>
      </c>
      <c r="G178" s="76" t="s">
        <v>201</v>
      </c>
      <c r="H178" s="77" t="str">
        <f t="shared" si="9"/>
        <v>700000_Professional services</v>
      </c>
      <c r="I178" s="76">
        <v>703000</v>
      </c>
      <c r="J178" s="76" t="s">
        <v>244</v>
      </c>
      <c r="K178" s="76" t="s">
        <v>699</v>
      </c>
      <c r="L178" s="77" t="str">
        <f t="shared" si="10"/>
        <v>703000_Other professional services</v>
      </c>
      <c r="M178" s="76" t="s">
        <v>308</v>
      </c>
      <c r="N178" s="78" t="s">
        <v>706</v>
      </c>
      <c r="O178" s="79" t="s">
        <v>203</v>
      </c>
      <c r="P178" s="79" t="s">
        <v>203</v>
      </c>
      <c r="Q178" s="79" t="s">
        <v>203</v>
      </c>
      <c r="R178" s="79" t="s">
        <v>203</v>
      </c>
      <c r="S178" s="79" t="s">
        <v>203</v>
      </c>
      <c r="T178" s="79" t="s">
        <v>203</v>
      </c>
      <c r="U178" s="79" t="s">
        <v>203</v>
      </c>
      <c r="V178" s="79" t="s">
        <v>203</v>
      </c>
      <c r="W178" s="79" t="s">
        <v>203</v>
      </c>
      <c r="X178" s="79" t="s">
        <v>203</v>
      </c>
      <c r="Y178" s="79" t="s">
        <v>203</v>
      </c>
      <c r="Z178" s="79" t="s">
        <v>203</v>
      </c>
      <c r="AA178" s="79" t="s">
        <v>203</v>
      </c>
      <c r="AB178" s="79" t="s">
        <v>203</v>
      </c>
      <c r="AC178" s="79" t="s">
        <v>203</v>
      </c>
      <c r="AD178" s="79" t="s">
        <v>203</v>
      </c>
      <c r="AE178" s="79" t="s">
        <v>203</v>
      </c>
      <c r="AF178" s="79" t="s">
        <v>203</v>
      </c>
      <c r="AG178" s="79" t="s">
        <v>203</v>
      </c>
      <c r="AH178" s="79" t="s">
        <v>203</v>
      </c>
      <c r="AI178" s="79" t="s">
        <v>203</v>
      </c>
      <c r="AJ178" s="79" t="s">
        <v>310</v>
      </c>
      <c r="AK178" s="79" t="s">
        <v>203</v>
      </c>
      <c r="AL178" s="79" t="s">
        <v>203</v>
      </c>
      <c r="AM178" s="79" t="s">
        <v>203</v>
      </c>
      <c r="AN178" s="79" t="s">
        <v>203</v>
      </c>
      <c r="AO178" s="79" t="s">
        <v>203</v>
      </c>
      <c r="AP178" s="79" t="s">
        <v>203</v>
      </c>
      <c r="AQ178" s="79" t="s">
        <v>203</v>
      </c>
      <c r="AR178" s="79" t="s">
        <v>203</v>
      </c>
      <c r="AS178" s="79" t="s">
        <v>203</v>
      </c>
      <c r="AT178" s="79" t="s">
        <v>203</v>
      </c>
      <c r="AU178" s="79" t="s">
        <v>203</v>
      </c>
      <c r="AV178" s="79" t="s">
        <v>203</v>
      </c>
      <c r="AW178" s="79" t="s">
        <v>203</v>
      </c>
      <c r="AX178" s="79" t="s">
        <v>203</v>
      </c>
      <c r="AY178" s="79" t="s">
        <v>203</v>
      </c>
      <c r="AZ178" s="79" t="s">
        <v>203</v>
      </c>
      <c r="BA178" s="79" t="s">
        <v>203</v>
      </c>
      <c r="BB178" s="79" t="s">
        <v>203</v>
      </c>
      <c r="BC178" s="79" t="s">
        <v>203</v>
      </c>
      <c r="BD178" s="79" t="s">
        <v>203</v>
      </c>
      <c r="BE178" s="79" t="s">
        <v>203</v>
      </c>
      <c r="BF178" s="79" t="s">
        <v>203</v>
      </c>
      <c r="BG178" s="79" t="s">
        <v>203</v>
      </c>
      <c r="BH178" s="79" t="s">
        <v>203</v>
      </c>
      <c r="BI178" s="79" t="s">
        <v>203</v>
      </c>
      <c r="BJ178" s="79" t="s">
        <v>203</v>
      </c>
    </row>
    <row r="179" spans="1:62" s="85" customFormat="1" x14ac:dyDescent="0.3">
      <c r="A179" s="43">
        <v>703005</v>
      </c>
      <c r="B179" s="44" t="s">
        <v>707</v>
      </c>
      <c r="C179" s="44" t="s">
        <v>708</v>
      </c>
      <c r="D179" s="44" t="str">
        <f t="shared" si="11"/>
        <v>703005_Recruitment services</v>
      </c>
      <c r="E179" s="81">
        <v>700000</v>
      </c>
      <c r="F179" s="81" t="s">
        <v>243</v>
      </c>
      <c r="G179" s="44" t="s">
        <v>201</v>
      </c>
      <c r="H179" s="44" t="str">
        <f t="shared" si="9"/>
        <v>700000_Professional services</v>
      </c>
      <c r="I179" s="81">
        <v>703000</v>
      </c>
      <c r="J179" s="81" t="s">
        <v>244</v>
      </c>
      <c r="K179" s="44" t="s">
        <v>699</v>
      </c>
      <c r="L179" s="44" t="str">
        <f t="shared" si="10"/>
        <v>703000_Other professional services</v>
      </c>
      <c r="M179" s="82" t="s">
        <v>308</v>
      </c>
      <c r="N179" s="83" t="s">
        <v>203</v>
      </c>
      <c r="O179" s="84" t="s">
        <v>203</v>
      </c>
      <c r="P179" s="84" t="s">
        <v>203</v>
      </c>
      <c r="Q179" s="84" t="s">
        <v>203</v>
      </c>
      <c r="R179" s="84" t="s">
        <v>203</v>
      </c>
      <c r="S179" s="84" t="s">
        <v>203</v>
      </c>
      <c r="T179" s="84" t="s">
        <v>203</v>
      </c>
      <c r="U179" s="84" t="s">
        <v>203</v>
      </c>
      <c r="V179" s="84" t="s">
        <v>203</v>
      </c>
      <c r="W179" s="84" t="s">
        <v>203</v>
      </c>
      <c r="X179" s="84" t="s">
        <v>203</v>
      </c>
      <c r="Y179" s="84" t="s">
        <v>203</v>
      </c>
      <c r="Z179" s="84" t="s">
        <v>203</v>
      </c>
      <c r="AA179" s="84" t="s">
        <v>203</v>
      </c>
      <c r="AB179" s="84" t="s">
        <v>203</v>
      </c>
      <c r="AC179" s="84" t="s">
        <v>203</v>
      </c>
      <c r="AD179" s="84" t="s">
        <v>203</v>
      </c>
      <c r="AE179" s="84" t="s">
        <v>203</v>
      </c>
      <c r="AF179" s="84" t="s">
        <v>203</v>
      </c>
      <c r="AG179" s="84" t="s">
        <v>203</v>
      </c>
      <c r="AH179" s="84" t="s">
        <v>203</v>
      </c>
      <c r="AI179" s="84" t="s">
        <v>203</v>
      </c>
      <c r="AJ179" s="84" t="s">
        <v>203</v>
      </c>
      <c r="AK179" s="84" t="s">
        <v>310</v>
      </c>
      <c r="AL179" s="84" t="s">
        <v>203</v>
      </c>
      <c r="AM179" s="84" t="s">
        <v>203</v>
      </c>
      <c r="AN179" s="84" t="s">
        <v>203</v>
      </c>
      <c r="AO179" s="84" t="s">
        <v>203</v>
      </c>
      <c r="AP179" s="84" t="s">
        <v>203</v>
      </c>
      <c r="AQ179" s="84" t="s">
        <v>203</v>
      </c>
      <c r="AR179" s="84" t="s">
        <v>203</v>
      </c>
      <c r="AS179" s="84" t="s">
        <v>203</v>
      </c>
      <c r="AT179" s="84" t="s">
        <v>203</v>
      </c>
      <c r="AU179" s="84" t="s">
        <v>203</v>
      </c>
      <c r="AV179" s="84" t="s">
        <v>203</v>
      </c>
      <c r="AW179" s="84" t="s">
        <v>203</v>
      </c>
      <c r="AX179" s="84" t="s">
        <v>203</v>
      </c>
      <c r="AY179" s="84" t="s">
        <v>203</v>
      </c>
      <c r="AZ179" s="84" t="s">
        <v>203</v>
      </c>
      <c r="BA179" s="84" t="s">
        <v>203</v>
      </c>
      <c r="BB179" s="84" t="s">
        <v>203</v>
      </c>
      <c r="BC179" s="84" t="s">
        <v>203</v>
      </c>
      <c r="BD179" s="84" t="s">
        <v>203</v>
      </c>
      <c r="BE179" s="84" t="s">
        <v>203</v>
      </c>
      <c r="BF179" s="84" t="s">
        <v>203</v>
      </c>
      <c r="BG179" s="84" t="s">
        <v>203</v>
      </c>
      <c r="BH179" s="84" t="s">
        <v>203</v>
      </c>
      <c r="BI179" s="84" t="s">
        <v>203</v>
      </c>
      <c r="BJ179" s="84" t="s">
        <v>203</v>
      </c>
    </row>
    <row r="180" spans="1:62" s="80" customFormat="1" x14ac:dyDescent="0.3">
      <c r="A180" s="45">
        <v>703999</v>
      </c>
      <c r="B180" s="46" t="s">
        <v>244</v>
      </c>
      <c r="C180" s="46" t="s">
        <v>699</v>
      </c>
      <c r="D180" s="46" t="str">
        <f t="shared" si="11"/>
        <v>703999_Other professional services</v>
      </c>
      <c r="E180" s="76">
        <v>700000</v>
      </c>
      <c r="F180" s="76" t="s">
        <v>243</v>
      </c>
      <c r="G180" s="76" t="s">
        <v>201</v>
      </c>
      <c r="H180" s="77" t="str">
        <f t="shared" si="9"/>
        <v>700000_Professional services</v>
      </c>
      <c r="I180" s="76">
        <v>703000</v>
      </c>
      <c r="J180" s="76" t="s">
        <v>244</v>
      </c>
      <c r="K180" s="76" t="s">
        <v>699</v>
      </c>
      <c r="L180" s="77" t="str">
        <f t="shared" si="10"/>
        <v>703000_Other professional services</v>
      </c>
      <c r="M180" s="76" t="s">
        <v>308</v>
      </c>
      <c r="N180" s="78" t="s">
        <v>203</v>
      </c>
      <c r="O180" s="79" t="s">
        <v>310</v>
      </c>
      <c r="P180" s="79" t="s">
        <v>310</v>
      </c>
      <c r="Q180" s="79" t="s">
        <v>310</v>
      </c>
      <c r="R180" s="79" t="s">
        <v>310</v>
      </c>
      <c r="S180" s="79" t="s">
        <v>310</v>
      </c>
      <c r="T180" s="79" t="s">
        <v>310</v>
      </c>
      <c r="U180" s="79" t="s">
        <v>310</v>
      </c>
      <c r="V180" s="79" t="s">
        <v>310</v>
      </c>
      <c r="W180" s="79" t="s">
        <v>310</v>
      </c>
      <c r="X180" s="79" t="s">
        <v>310</v>
      </c>
      <c r="Y180" s="79" t="s">
        <v>310</v>
      </c>
      <c r="Z180" s="79" t="s">
        <v>310</v>
      </c>
      <c r="AA180" s="79" t="s">
        <v>310</v>
      </c>
      <c r="AB180" s="79" t="s">
        <v>310</v>
      </c>
      <c r="AC180" s="79" t="s">
        <v>310</v>
      </c>
      <c r="AD180" s="79" t="s">
        <v>310</v>
      </c>
      <c r="AE180" s="79" t="s">
        <v>310</v>
      </c>
      <c r="AF180" s="79" t="s">
        <v>310</v>
      </c>
      <c r="AG180" s="79" t="s">
        <v>310</v>
      </c>
      <c r="AH180" s="79" t="s">
        <v>310</v>
      </c>
      <c r="AI180" s="79" t="s">
        <v>310</v>
      </c>
      <c r="AJ180" s="79" t="s">
        <v>310</v>
      </c>
      <c r="AK180" s="79" t="s">
        <v>310</v>
      </c>
      <c r="AL180" s="79" t="s">
        <v>310</v>
      </c>
      <c r="AM180" s="79" t="s">
        <v>310</v>
      </c>
      <c r="AN180" s="79" t="s">
        <v>310</v>
      </c>
      <c r="AO180" s="79" t="s">
        <v>310</v>
      </c>
      <c r="AP180" s="79" t="s">
        <v>310</v>
      </c>
      <c r="AQ180" s="79" t="s">
        <v>310</v>
      </c>
      <c r="AR180" s="79" t="s">
        <v>310</v>
      </c>
      <c r="AS180" s="79" t="s">
        <v>310</v>
      </c>
      <c r="AT180" s="79" t="s">
        <v>310</v>
      </c>
      <c r="AU180" s="79" t="s">
        <v>310</v>
      </c>
      <c r="AV180" s="79" t="s">
        <v>310</v>
      </c>
      <c r="AW180" s="79" t="s">
        <v>310</v>
      </c>
      <c r="AX180" s="79" t="s">
        <v>310</v>
      </c>
      <c r="AY180" s="79" t="s">
        <v>310</v>
      </c>
      <c r="AZ180" s="79" t="s">
        <v>310</v>
      </c>
      <c r="BA180" s="79" t="s">
        <v>310</v>
      </c>
      <c r="BB180" s="79" t="s">
        <v>310</v>
      </c>
      <c r="BC180" s="79" t="s">
        <v>310</v>
      </c>
      <c r="BD180" s="79" t="s">
        <v>310</v>
      </c>
      <c r="BE180" s="79" t="s">
        <v>310</v>
      </c>
      <c r="BF180" s="79" t="s">
        <v>310</v>
      </c>
      <c r="BG180" s="79" t="s">
        <v>310</v>
      </c>
      <c r="BH180" s="79" t="s">
        <v>310</v>
      </c>
      <c r="BI180" s="79" t="s">
        <v>310</v>
      </c>
      <c r="BJ180" s="79" t="s">
        <v>310</v>
      </c>
    </row>
    <row r="181" spans="1:62" s="85" customFormat="1" x14ac:dyDescent="0.3">
      <c r="A181" s="43">
        <v>801001</v>
      </c>
      <c r="B181" s="44" t="s">
        <v>709</v>
      </c>
      <c r="C181" s="44" t="s">
        <v>710</v>
      </c>
      <c r="D181" s="44" t="str">
        <f t="shared" si="11"/>
        <v>801001_RSF grant expenses</v>
      </c>
      <c r="E181" s="81">
        <v>800000</v>
      </c>
      <c r="F181" s="81" t="s">
        <v>709</v>
      </c>
      <c r="G181" s="44" t="s">
        <v>710</v>
      </c>
      <c r="H181" s="44" t="str">
        <f t="shared" si="9"/>
        <v>800000_RSF grant expenses</v>
      </c>
      <c r="I181" s="81">
        <v>801000</v>
      </c>
      <c r="J181" s="81" t="s">
        <v>709</v>
      </c>
      <c r="K181" s="44" t="s">
        <v>710</v>
      </c>
      <c r="L181" s="44" t="str">
        <f t="shared" si="10"/>
        <v>801000_RSF grant expenses</v>
      </c>
      <c r="M181" s="82" t="s">
        <v>308</v>
      </c>
      <c r="N181" s="83" t="s">
        <v>203</v>
      </c>
      <c r="O181" s="84" t="s">
        <v>203</v>
      </c>
      <c r="P181" s="84" t="s">
        <v>203</v>
      </c>
      <c r="Q181" s="84" t="s">
        <v>203</v>
      </c>
      <c r="R181" s="84" t="s">
        <v>203</v>
      </c>
      <c r="S181" s="84" t="s">
        <v>203</v>
      </c>
      <c r="T181" s="84" t="s">
        <v>310</v>
      </c>
      <c r="U181" s="84" t="s">
        <v>203</v>
      </c>
      <c r="V181" s="84" t="s">
        <v>203</v>
      </c>
      <c r="W181" s="84" t="s">
        <v>203</v>
      </c>
      <c r="X181" s="84" t="s">
        <v>203</v>
      </c>
      <c r="Y181" s="84" t="s">
        <v>203</v>
      </c>
      <c r="Z181" s="84" t="s">
        <v>203</v>
      </c>
      <c r="AA181" s="84" t="s">
        <v>203</v>
      </c>
      <c r="AB181" s="84" t="s">
        <v>203</v>
      </c>
      <c r="AC181" s="84" t="s">
        <v>203</v>
      </c>
      <c r="AD181" s="84" t="s">
        <v>203</v>
      </c>
      <c r="AE181" s="84" t="s">
        <v>203</v>
      </c>
      <c r="AF181" s="84" t="s">
        <v>203</v>
      </c>
      <c r="AG181" s="84" t="s">
        <v>203</v>
      </c>
      <c r="AH181" s="84" t="s">
        <v>203</v>
      </c>
      <c r="AI181" s="84" t="s">
        <v>203</v>
      </c>
      <c r="AJ181" s="84" t="s">
        <v>203</v>
      </c>
      <c r="AK181" s="84" t="s">
        <v>310</v>
      </c>
      <c r="AL181" s="84" t="s">
        <v>203</v>
      </c>
      <c r="AM181" s="84" t="s">
        <v>203</v>
      </c>
      <c r="AN181" s="84" t="s">
        <v>203</v>
      </c>
      <c r="AO181" s="84" t="s">
        <v>203</v>
      </c>
      <c r="AP181" s="84" t="s">
        <v>203</v>
      </c>
      <c r="AQ181" s="84" t="s">
        <v>203</v>
      </c>
      <c r="AR181" s="84" t="s">
        <v>203</v>
      </c>
      <c r="AS181" s="84" t="s">
        <v>203</v>
      </c>
      <c r="AT181" s="84" t="s">
        <v>203</v>
      </c>
      <c r="AU181" s="84" t="s">
        <v>203</v>
      </c>
      <c r="AV181" s="84" t="s">
        <v>203</v>
      </c>
      <c r="AW181" s="84" t="s">
        <v>203</v>
      </c>
      <c r="AX181" s="84" t="s">
        <v>203</v>
      </c>
      <c r="AY181" s="84" t="s">
        <v>203</v>
      </c>
      <c r="AZ181" s="84" t="s">
        <v>310</v>
      </c>
      <c r="BA181" s="84" t="s">
        <v>310</v>
      </c>
      <c r="BB181" s="84" t="s">
        <v>310</v>
      </c>
      <c r="BC181" s="84" t="s">
        <v>310</v>
      </c>
      <c r="BD181" s="84" t="s">
        <v>310</v>
      </c>
      <c r="BE181" s="84" t="s">
        <v>310</v>
      </c>
      <c r="BF181" s="84" t="s">
        <v>310</v>
      </c>
      <c r="BG181" s="84" t="s">
        <v>310</v>
      </c>
      <c r="BH181" s="84" t="s">
        <v>310</v>
      </c>
      <c r="BI181" s="84" t="s">
        <v>310</v>
      </c>
      <c r="BJ181" s="84" t="s">
        <v>310</v>
      </c>
    </row>
  </sheetData>
  <autoFilter ref="A2:BI181"/>
  <conditionalFormatting sqref="M3 M6">
    <cfRule type="cellIs" dxfId="251" priority="251" operator="equal">
      <formula>"да"</formula>
    </cfRule>
    <cfRule type="cellIs" dxfId="250" priority="252" operator="equal">
      <formula>"нет"</formula>
    </cfRule>
  </conditionalFormatting>
  <conditionalFormatting sqref="AJ3 AP3 AL3:AM3 AR3:AU3 AM6 AD3 AZ3:BI3 AS6:AU6 AW3:AX3 AW6:AX6 AZ6:BI6 AD6">
    <cfRule type="cellIs" dxfId="249" priority="249" operator="equal">
      <formula>"-"</formula>
    </cfRule>
    <cfRule type="cellIs" dxfId="248" priority="250" operator="equal">
      <formula>"+"</formula>
    </cfRule>
  </conditionalFormatting>
  <conditionalFormatting sqref="AI3 AI6">
    <cfRule type="cellIs" dxfId="247" priority="247" operator="equal">
      <formula>"-"</formula>
    </cfRule>
    <cfRule type="cellIs" dxfId="246" priority="248" operator="equal">
      <formula>"+"</formula>
    </cfRule>
  </conditionalFormatting>
  <conditionalFormatting sqref="AR6">
    <cfRule type="cellIs" dxfId="245" priority="243" operator="equal">
      <formula>"-"</formula>
    </cfRule>
    <cfRule type="cellIs" dxfId="244" priority="244" operator="equal">
      <formula>"+"</formula>
    </cfRule>
  </conditionalFormatting>
  <conditionalFormatting sqref="AJ6">
    <cfRule type="cellIs" dxfId="243" priority="245" operator="equal">
      <formula>"-"</formula>
    </cfRule>
    <cfRule type="cellIs" dxfId="242" priority="246" operator="equal">
      <formula>"+"</formula>
    </cfRule>
  </conditionalFormatting>
  <conditionalFormatting sqref="AL6">
    <cfRule type="cellIs" dxfId="241" priority="241" operator="equal">
      <formula>"-"</formula>
    </cfRule>
    <cfRule type="cellIs" dxfId="240" priority="242" operator="equal">
      <formula>"+"</formula>
    </cfRule>
  </conditionalFormatting>
  <conditionalFormatting sqref="AP6">
    <cfRule type="cellIs" dxfId="239" priority="239" operator="equal">
      <formula>"-"</formula>
    </cfRule>
    <cfRule type="cellIs" dxfId="238" priority="240" operator="equal">
      <formula>"+"</formula>
    </cfRule>
  </conditionalFormatting>
  <conditionalFormatting sqref="AO3">
    <cfRule type="cellIs" dxfId="237" priority="237" operator="equal">
      <formula>"-"</formula>
    </cfRule>
    <cfRule type="cellIs" dxfId="236" priority="238" operator="equal">
      <formula>"+"</formula>
    </cfRule>
  </conditionalFormatting>
  <conditionalFormatting sqref="AO6">
    <cfRule type="cellIs" dxfId="235" priority="235" operator="equal">
      <formula>"-"</formula>
    </cfRule>
    <cfRule type="cellIs" dxfId="234" priority="236" operator="equal">
      <formula>"+"</formula>
    </cfRule>
  </conditionalFormatting>
  <conditionalFormatting sqref="AK3 AK6">
    <cfRule type="cellIs" dxfId="233" priority="233" operator="equal">
      <formula>"-"</formula>
    </cfRule>
    <cfRule type="cellIs" dxfId="232" priority="234" operator="equal">
      <formula>"+"</formula>
    </cfRule>
  </conditionalFormatting>
  <conditionalFormatting sqref="AQ3">
    <cfRule type="cellIs" dxfId="231" priority="231" operator="equal">
      <formula>"-"</formula>
    </cfRule>
    <cfRule type="cellIs" dxfId="230" priority="232" operator="equal">
      <formula>"+"</formula>
    </cfRule>
  </conditionalFormatting>
  <conditionalFormatting sqref="AQ6">
    <cfRule type="cellIs" dxfId="229" priority="229" operator="equal">
      <formula>"-"</formula>
    </cfRule>
    <cfRule type="cellIs" dxfId="228" priority="230" operator="equal">
      <formula>"+"</formula>
    </cfRule>
  </conditionalFormatting>
  <conditionalFormatting sqref="AN3 AN6">
    <cfRule type="cellIs" dxfId="227" priority="227" operator="equal">
      <formula>"-"</formula>
    </cfRule>
    <cfRule type="cellIs" dxfId="226" priority="228" operator="equal">
      <formula>"+"</formula>
    </cfRule>
  </conditionalFormatting>
  <conditionalFormatting sqref="AE3:AH3 AE6:AH6">
    <cfRule type="cellIs" dxfId="225" priority="225" operator="equal">
      <formula>"-"</formula>
    </cfRule>
    <cfRule type="cellIs" dxfId="224" priority="226" operator="equal">
      <formula>"+"</formula>
    </cfRule>
  </conditionalFormatting>
  <conditionalFormatting sqref="AC3 AC6">
    <cfRule type="cellIs" dxfId="223" priority="223" operator="equal">
      <formula>"-"</formula>
    </cfRule>
    <cfRule type="cellIs" dxfId="222" priority="224" operator="equal">
      <formula>"+"</formula>
    </cfRule>
  </conditionalFormatting>
  <conditionalFormatting sqref="S3:AB3 S6:AB6">
    <cfRule type="cellIs" dxfId="221" priority="221" operator="equal">
      <formula>"-"</formula>
    </cfRule>
    <cfRule type="cellIs" dxfId="220" priority="222" operator="equal">
      <formula>"+"</formula>
    </cfRule>
  </conditionalFormatting>
  <conditionalFormatting sqref="O3:R3 O6:R6">
    <cfRule type="cellIs" dxfId="219" priority="219" operator="equal">
      <formula>"-"</formula>
    </cfRule>
    <cfRule type="cellIs" dxfId="218" priority="220" operator="equal">
      <formula>"+"</formula>
    </cfRule>
  </conditionalFormatting>
  <conditionalFormatting sqref="AY3 AY6">
    <cfRule type="cellIs" dxfId="217" priority="217" operator="equal">
      <formula>"-"</formula>
    </cfRule>
    <cfRule type="cellIs" dxfId="216" priority="218" operator="equal">
      <formula>"+"</formula>
    </cfRule>
  </conditionalFormatting>
  <conditionalFormatting sqref="BJ3 BJ6">
    <cfRule type="cellIs" dxfId="215" priority="215" operator="equal">
      <formula>"-"</formula>
    </cfRule>
    <cfRule type="cellIs" dxfId="214" priority="216" operator="equal">
      <formula>"+"</formula>
    </cfRule>
  </conditionalFormatting>
  <conditionalFormatting sqref="AV3 AV6">
    <cfRule type="cellIs" dxfId="213" priority="213" operator="equal">
      <formula>"-"</formula>
    </cfRule>
    <cfRule type="cellIs" dxfId="212" priority="214" operator="equal">
      <formula>"+"</formula>
    </cfRule>
  </conditionalFormatting>
  <conditionalFormatting sqref="M7:M64 M66:M120 M123:M181">
    <cfRule type="cellIs" dxfId="211" priority="211" operator="equal">
      <formula>"да"</formula>
    </cfRule>
    <cfRule type="cellIs" dxfId="210" priority="212" operator="equal">
      <formula>"нет"</formula>
    </cfRule>
  </conditionalFormatting>
  <conditionalFormatting sqref="AJ7 AJ9 AJ11 AJ13 AJ15 AJ17 AJ19 AJ21 AJ23 AJ25 AJ27 AJ29 AJ31 AJ33 AJ35 AJ37 AJ39 AJ41 AJ43 AJ45 AJ47 AJ49 AJ51 AJ53 AJ55 AJ57 AJ59 AJ61 AJ63 AJ66 AJ68 AJ70 AJ72 AJ74 AJ76 AJ78 AJ80 AJ82 AJ84 AJ86 AJ88 AJ90 AJ92 AJ94 AJ96 AJ98 AJ100 AJ102 AJ104 AJ106 AJ108 AJ110 AJ112 AJ114 AJ116 AJ118 AJ120 AJ124 AJ126 AJ128 AJ130 AJ132 AJ134 AJ136 AJ138 AJ140 AJ142 AJ144 AJ146 AJ148 AJ150 AJ152 AJ154 AJ156 AJ158 AJ160 AJ162 AJ164 AJ166 AJ168 AJ170 AJ172 AJ174 AJ176 AJ178 AJ180 AP7 AP9 AP11 AP13 AP15 AP17 AP19 AP21 AP23 AP25 AP27 AP29 AP31 AP33 AP35 AP37 AP39 AP41 AP43 AP45 AP47 AP49 AP51 AP53 AP55 AP57 AP59 AP61 AP63 AP66 AP68 AP70 AP72 AP74 AP76 AP78 AP80 AP82 AP84 AP86 AP88 AP90 AP92 AP94 AP96 AP98 AP100 AP102 AP104 AP106 AP108 AP110 AP112 AP114 AP116 AP118 AP120 AP124 AP126 AP128 AP130 AP132 AP134 AP136 AP138 AP140 AP142 AP144 AP146 AP148 AP150 AP152 AP154 AP156 AP158 AP160 AP162 AP164 AP166 AP168 AP170 AP172 AP174 AP176 AP178 AP180 AL7:AM7 AL9:AM9 AL11:AM11 AL13:AM13 AL15:AM15 AL17:AM17 AL19:AM19 AL21:AM21 AL23:AM23 AL25:AM25 AL27:AM27 AL29:AM29 AL31:AM31 AL33:AM33 AL35:AM35 AL37:AM37 AL39:AM39 AL41:AM41 AL43:AM43 AL45:AM45 AL47:AM47 AL49:AM49 AL51:AM51 AL53:AM53 AL55:AM55 AL57:AM57 AL59:AM59 AL61:AM61 AL63:AM63 AL66:AM66 AL68:AM68 AL70:AM70 AL72:AM72 AL74:AM74 AL76:AM76 AL78:AM78 AL80:AM80 AL82:AM82 AL84:AM84 AL86:AM86 AL88:AM88 AL90:AM90 AL92:AM92 AL94:AM94 AL96:AM96 AL98:AM98 AL100:AM100 AL102:AM102 AL104:AM104 AL106:AM106 AL108:AM108 AL110:AM110 AL112:AM112 AL114:AM114 AL116:AM116 AL118:AM118 AL120:AM120 AL124:AM124 AL126:AM126 AL128:AM128 AL130:AM130 AL132:AM132 AL134:AM134 AL136:AM136 AL138:AM138 AL140:AM140 AL142:AM142 AL144:AM144 AL146:AM146 AL148:AM148 AL150:AM150 AL152:AM152 AL154:AM154 AL156:AM156 AL158:AM158 AL160:AM160 AL162:AM162 AL164:AM164 AL166:AM166 AL168:AM168 AL170:AM170 AL172:AM172 AL174:AM174 AL176:AM176 AL178:AM178 AL180:AM180 AR7:AU7 AR9:AU9 AR11:AU11 AR13:AU13 AR15:AU15 AR17:AU17 AR19:AU19 AR21:AU21 AR23:AU23 AR25:AU25 AR27:AU27 AR29:AU29 AR31:AU31 AR33:AU33 AR35:AU35 AR37:AU37 AR39:AU39 AR41:AU41 AR43:AU43 AR45:AU45 AR47:AU47 AR49:AU49 AR51:AU51 AR53:AU53 AR55:AU55 AR57:AU57 AR59:AU59 AR61:AU61 AR63:AU63 AR66:AU66 AR68:AU68 AR70:AU70 AR72:AU72 AR74:AU74 AR76:AU76 AR78:AU78 AR80:AU80 AR82:AU82 AR84:AU84 AR86:AU86 AR88:AU88 AR90:AU90 AR92:AU92 AR94:AU94 AR96:AU96 AR98:AU98 AR100:AU100 AR102:AU102 AR104:AU104 AR106:AU106 AR108:AU108 AR110:AU110 AR112:AU112 AR114:AU114 AR116:AU116 AR118:AU118 AR120:AU120 AR124:AU124 AR126:AU126 AR128:AU128 AR130:AU130 AR132:AU132 AR134:AU134 AR136:AU136 AR138:AU138 AR140:AU140 AR142:AU142 AR144:AU144 AR146:AU146 AR148:AU148 AR150:AU150 AR152:AU152 AR154:AU154 AR156:AU156 AR158:AU158 AR160:AU160 AR162:AU162 AR164:AU164 AR166:AU166 AR168:AU168 AR170:AU170 AR172:AU172 AR174:AU174 AR176:AU176 AR178:AU178 AR180:AU180 AM8 AM10 AM12 AM14 AM16 AM18 AM20 AM22 AM24 AM26 AM28 AM30 AM32 AM34 AM36 AM38 AM40 AM42 AM44 AM46 AM48 AM50 AM52 AM54 AM56 AM58 AM60 AM62 AM64 AM67 AM69 AM71 AM73 AM75 AM77 AM79 AM81 AM83 AM85 AM87 AM89 AM91 AM93 AM95 AM97 AM99 AM101 AM103 AM105 AM107 AM109 AM111 AM113 AM115 AM117 AM119 AM123 AM125 AM127 AM129 AM131 AM133 AM135 AM137 AM139 AM141 AM143 AM145 AM147 AM149 AM151 AM153 AM155 AM157 AM159 AM161 AM163 AM165 AM167 AM169 AM171 AM173 AM175 AM177 AM179 AM181 AD7:AD64 AZ7:BI64 AS8:AU8 AS10:AU10 AS12:AU12 AS14:AU14 AS16:AU16 AS18:AU18 AS20:AU20 AS22:AU22 AS24:AU24 AS26:AU26 AS28:AU28 AS30:AU30 AS32:AU32 AS34:AU34 AS36:AU36 AS38:AU38 AS40:AU40 AS42:AU42 AS44:AU44 AS46:AU46 AS48:AU48 AS50:AU50 AS52:AU52 AS54:AU54 AS56:AU56 AS58:AU58 AS60:AU60 AS62:AU62 AS64:AU64 AS67:AU67 AS69:AU69 AS71:AU71 AS73:AU73 AS75:AU75 AS77:AU77 AS79:AU79 AS81:AU81 AS83:AU83 AS85:AU85 AS87:AU87 AS89:AU89 AS91:AU91 AS93:AU93 AS95:AU95 AS97:AU97 AS99:AU99 AS101:AU101 AS103:AU103 AS105:AU105 AS107:AU107 AS109:AU109 AS111:AU111 AS113:AU113 AS115:AU115 AS117:AU117 AS119:AU119 AS123:AU123 AS125:AU125 AS127:AU127 AS129:AU129 AS131:AU131 AS133:AU133 AS135:AU135 AS137:AU137 AS139:AU139 AS141:AU141 AS143:AU143 AS145:AU145 AS147:AU147 AS149:AU149 AS151:AU151 AS153:AU153 AS155:AU155 AS157:AU157 AS159:AU159 AS161:AU161 AS163:AU163 AS165:AU165 AS167:AU167 AS169:AU169 AS171:AU171 AS173:AU173 AS175:AU175 AS177:AU177 AS179:AU179 AS181:AU181 AW7:AX64 AW66:AX120 AZ66:BI120 AD66:AD120 AD123:AD181 AZ123:BI181 AW123:AX181">
    <cfRule type="cellIs" dxfId="209" priority="209" operator="equal">
      <formula>"-"</formula>
    </cfRule>
    <cfRule type="cellIs" dxfId="208" priority="210" operator="equal">
      <formula>"+"</formula>
    </cfRule>
  </conditionalFormatting>
  <conditionalFormatting sqref="AI7:AI64 AI66:AI120 AI123:AI181">
    <cfRule type="cellIs" dxfId="207" priority="207" operator="equal">
      <formula>"-"</formula>
    </cfRule>
    <cfRule type="cellIs" dxfId="206" priority="208" operator="equal">
      <formula>"+"</formula>
    </cfRule>
  </conditionalFormatting>
  <conditionalFormatting sqref="AR8 AR10 AR12 AR14 AR16 AR18 AR20 AR22 AR24 AR26 AR28 AR30 AR32 AR34 AR36 AR38 AR40 AR42 AR44 AR46 AR48 AR50 AR52 AR54 AR56 AR58 AR60 AR62 AR64 AR67 AR69 AR71 AR73 AR75 AR77 AR79 AR81 AR83 AR85 AR87 AR89 AR91 AR93 AR95 AR97 AR99 AR101 AR103 AR105 AR107 AR109 AR111 AR113 AR115 AR117 AR119 AR123 AR125 AR127 AR129 AR131 AR133 AR135 AR137 AR139 AR141 AR143 AR145 AR147 AR149 AR151 AR153 AR155 AR157 AR159 AR161 AR163 AR165 AR167 AR169 AR171 AR173 AR175 AR177 AR179 AR181">
    <cfRule type="cellIs" dxfId="205" priority="203" operator="equal">
      <formula>"-"</formula>
    </cfRule>
    <cfRule type="cellIs" dxfId="204" priority="204" operator="equal">
      <formula>"+"</formula>
    </cfRule>
  </conditionalFormatting>
  <conditionalFormatting sqref="AJ8 AJ10 AJ12 AJ14 AJ16 AJ18 AJ20 AJ22 AJ24 AJ26 AJ28 AJ30 AJ32 AJ34 AJ36 AJ38 AJ40 AJ42 AJ44 AJ46 AJ48 AJ50 AJ52 AJ54 AJ56 AJ58 AJ60 AJ62 AJ64 AJ67 AJ69 AJ71 AJ73 AJ75 AJ77 AJ79 AJ81 AJ83 AJ85 AJ87 AJ89 AJ91 AJ93 AJ95 AJ97 AJ99 AJ101 AJ103 AJ105 AJ107 AJ109 AJ111 AJ113 AJ115 AJ117 AJ119 AJ123 AJ125 AJ127 AJ129 AJ131 AJ133 AJ135 AJ137 AJ139 AJ141 AJ143 AJ145 AJ147 AJ149 AJ151 AJ153 AJ155 AJ157 AJ159 AJ161 AJ163 AJ165 AJ167 AJ169 AJ171 AJ173 AJ175 AJ177 AJ179 AJ181">
    <cfRule type="cellIs" dxfId="203" priority="205" operator="equal">
      <formula>"-"</formula>
    </cfRule>
    <cfRule type="cellIs" dxfId="202" priority="206" operator="equal">
      <formula>"+"</formula>
    </cfRule>
  </conditionalFormatting>
  <conditionalFormatting sqref="AL8 AL10 AL12 AL14 AL16 AL18 AL20 AL22 AL24 AL26 AL28 AL30 AL32 AL34 AL36 AL38 AL40 AL42 AL44 AL46 AL48 AL50 AL52 AL54 AL56 AL58 AL60 AL62 AL64 AL67 AL69 AL71 AL73 AL75 AL77 AL79 AL81 AL83 AL85 AL87 AL89 AL91 AL93 AL95 AL97 AL99 AL101 AL103 AL105 AL107 AL109 AL111 AL113 AL115 AL117 AL119 AL123 AL125 AL127 AL129 AL131 AL133 AL135 AL137 AL139 AL141 AL143 AL145 AL147 AL149 AL151 AL153 AL155 AL157 AL159 AL161 AL163 AL165 AL167 AL169 AL171 AL173 AL175 AL177 AL179 AL181">
    <cfRule type="cellIs" dxfId="201" priority="201" operator="equal">
      <formula>"-"</formula>
    </cfRule>
    <cfRule type="cellIs" dxfId="200" priority="202" operator="equal">
      <formula>"+"</formula>
    </cfRule>
  </conditionalFormatting>
  <conditionalFormatting sqref="AP8 AP10 AP12 AP14 AP16 AP18 AP20 AP22 AP24 AP26 AP28 AP30 AP32 AP34 AP36 AP38 AP40 AP42 AP44 AP46 AP48 AP50 AP52 AP54 AP56 AP58 AP60 AP62 AP64 AP67 AP69 AP71 AP73 AP75 AP77 AP79 AP81 AP83 AP85 AP87 AP89 AP91 AP93 AP95 AP97 AP99 AP101 AP103 AP105 AP107 AP109 AP111 AP113 AP115 AP117 AP119 AP123 AP125 AP127 AP129 AP131 AP133 AP135 AP137 AP139 AP141 AP143 AP145 AP147 AP149 AP151 AP153 AP155 AP157 AP159 AP161 AP163 AP165 AP167 AP169 AP171 AP173 AP175 AP177 AP179 AP181">
    <cfRule type="cellIs" dxfId="199" priority="199" operator="equal">
      <formula>"-"</formula>
    </cfRule>
    <cfRule type="cellIs" dxfId="198" priority="200" operator="equal">
      <formula>"+"</formula>
    </cfRule>
  </conditionalFormatting>
  <conditionalFormatting sqref="AO7 AO9 AO11 AO13 AO15 AO17 AO19 AO21 AO23 AO25 AO27 AO29 AO31 AO33 AO35 AO37 AO39 AO41 AO43 AO45 AO47 AO49 AO51 AO53 AO55 AO57 AO59 AO61 AO63 AO66 AO68 AO70 AO72 AO74 AO76 AO78 AO80 AO82 AO84 AO86 AO88 AO90 AO92 AO94 AO96 AO98 AO100 AO102 AO104 AO106 AO108 AO110 AO112 AO114 AO116 AO118 AO120 AO124 AO126 AO128 AO130 AO132 AO134 AO136 AO138 AO140 AO142 AO144 AO146 AO148 AO150 AO152 AO154 AO156 AO158 AO160 AO162 AO164 AO166 AO168 AO170 AO172 AO174 AO176 AO178 AO180">
    <cfRule type="cellIs" dxfId="197" priority="197" operator="equal">
      <formula>"-"</formula>
    </cfRule>
    <cfRule type="cellIs" dxfId="196" priority="198" operator="equal">
      <formula>"+"</formula>
    </cfRule>
  </conditionalFormatting>
  <conditionalFormatting sqref="AO8 AO10 AO12 AO14 AO16 AO18 AO20 AO22 AO24 AO26 AO28 AO30 AO32 AO34 AO36 AO38 AO40 AO42 AO44 AO46 AO48 AO50 AO52 AO54 AO56 AO58 AO60 AO62 AO64 AO67 AO69 AO71 AO73 AO75 AO77 AO79 AO81 AO83 AO85 AO87 AO89 AO91 AO93 AO95 AO97 AO99 AO101 AO103 AO105 AO107 AO109 AO111 AO113 AO115 AO117 AO119 AO123 AO125 AO127 AO129 AO131 AO133 AO135 AO137 AO139 AO141 AO143 AO145 AO147 AO149 AO151 AO153 AO155 AO157 AO159 AO161 AO163 AO165 AO167 AO169 AO171 AO173 AO175 AO177 AO179 AO181">
    <cfRule type="cellIs" dxfId="195" priority="195" operator="equal">
      <formula>"-"</formula>
    </cfRule>
    <cfRule type="cellIs" dxfId="194" priority="196" operator="equal">
      <formula>"+"</formula>
    </cfRule>
  </conditionalFormatting>
  <conditionalFormatting sqref="AK7:AK64 AK66:AK120 AK123:AK181">
    <cfRule type="cellIs" dxfId="193" priority="193" operator="equal">
      <formula>"-"</formula>
    </cfRule>
    <cfRule type="cellIs" dxfId="192" priority="194" operator="equal">
      <formula>"+"</formula>
    </cfRule>
  </conditionalFormatting>
  <conditionalFormatting sqref="AQ7 AQ9 AQ11 AQ13 AQ15 AQ17 AQ19 AQ21 AQ23 AQ25 AQ27 AQ29 AQ31 AQ33 AQ35 AQ37 AQ39 AQ41 AQ43 AQ45 AQ47 AQ49 AQ51 AQ53 AQ55 AQ57 AQ59 AQ61 AQ63 AQ66 AQ68 AQ70 AQ72 AQ74 AQ76 AQ78 AQ80 AQ82 AQ84 AQ86 AQ88 AQ90 AQ92 AQ94 AQ96 AQ98 AQ100 AQ102 AQ104 AQ106 AQ108 AQ110 AQ112 AQ114 AQ116 AQ118 AQ120 AQ124 AQ126 AQ128 AQ130 AQ132 AQ134 AQ136 AQ138 AQ140 AQ142 AQ144 AQ146 AQ148 AQ150 AQ152 AQ154 AQ156 AQ158 AQ160 AQ162 AQ164 AQ166 AQ168 AQ170 AQ172 AQ174 AQ176 AQ178 AQ180">
    <cfRule type="cellIs" dxfId="191" priority="191" operator="equal">
      <formula>"-"</formula>
    </cfRule>
    <cfRule type="cellIs" dxfId="190" priority="192" operator="equal">
      <formula>"+"</formula>
    </cfRule>
  </conditionalFormatting>
  <conditionalFormatting sqref="AQ8 AQ10 AQ12 AQ14 AQ16 AQ18 AQ20 AQ22 AQ24 AQ26 AQ28 AQ30 AQ32 AQ34 AQ36 AQ38 AQ40 AQ42 AQ44 AQ46 AQ48 AQ50 AQ52 AQ54 AQ56 AQ58 AQ60 AQ62 AQ64 AQ67 AQ69 AQ71 AQ73 AQ75 AQ77 AQ79 AQ81 AQ83 AQ85 AQ87 AQ89 AQ91 AQ93 AQ95 AQ97 AQ99 AQ101 AQ103 AQ105 AQ107 AQ109 AQ111 AQ113 AQ115 AQ117 AQ119 AQ123 AQ125 AQ127 AQ129 AQ131 AQ133 AQ135 AQ137 AQ139 AQ141 AQ143 AQ145 AQ147 AQ149 AQ151 AQ153 AQ155 AQ157 AQ159 AQ161 AQ163 AQ165 AQ167 AQ169 AQ171 AQ173 AQ175 AQ177 AQ179 AQ181">
    <cfRule type="cellIs" dxfId="189" priority="189" operator="equal">
      <formula>"-"</formula>
    </cfRule>
    <cfRule type="cellIs" dxfId="188" priority="190" operator="equal">
      <formula>"+"</formula>
    </cfRule>
  </conditionalFormatting>
  <conditionalFormatting sqref="AN7:AN64 AN66:AN120 AN123:AN181">
    <cfRule type="cellIs" dxfId="187" priority="187" operator="equal">
      <formula>"-"</formula>
    </cfRule>
    <cfRule type="cellIs" dxfId="186" priority="188" operator="equal">
      <formula>"+"</formula>
    </cfRule>
  </conditionalFormatting>
  <conditionalFormatting sqref="AE7:AH64 AE66:AH120 AE123:AH181">
    <cfRule type="cellIs" dxfId="185" priority="185" operator="equal">
      <formula>"-"</formula>
    </cfRule>
    <cfRule type="cellIs" dxfId="184" priority="186" operator="equal">
      <formula>"+"</formula>
    </cfRule>
  </conditionalFormatting>
  <conditionalFormatting sqref="AC7:AC64 AC66:AC120 AC123:AC181">
    <cfRule type="cellIs" dxfId="183" priority="183" operator="equal">
      <formula>"-"</formula>
    </cfRule>
    <cfRule type="cellIs" dxfId="182" priority="184" operator="equal">
      <formula>"+"</formula>
    </cfRule>
  </conditionalFormatting>
  <conditionalFormatting sqref="S7:AB64 S66:AB120 S123:AB181">
    <cfRule type="cellIs" dxfId="181" priority="181" operator="equal">
      <formula>"-"</formula>
    </cfRule>
    <cfRule type="cellIs" dxfId="180" priority="182" operator="equal">
      <formula>"+"</formula>
    </cfRule>
  </conditionalFormatting>
  <conditionalFormatting sqref="O7:R64 O66:R120 O123:R181">
    <cfRule type="cellIs" dxfId="179" priority="179" operator="equal">
      <formula>"-"</formula>
    </cfRule>
    <cfRule type="cellIs" dxfId="178" priority="180" operator="equal">
      <formula>"+"</formula>
    </cfRule>
  </conditionalFormatting>
  <conditionalFormatting sqref="AY7:AY64 AY66:AY120 AY123:AY181">
    <cfRule type="cellIs" dxfId="177" priority="177" operator="equal">
      <formula>"-"</formula>
    </cfRule>
    <cfRule type="cellIs" dxfId="176" priority="178" operator="equal">
      <formula>"+"</formula>
    </cfRule>
  </conditionalFormatting>
  <conditionalFormatting sqref="BJ7:BJ64 BJ66:BJ120 BJ123:BJ181">
    <cfRule type="cellIs" dxfId="175" priority="175" operator="equal">
      <formula>"-"</formula>
    </cfRule>
    <cfRule type="cellIs" dxfId="174" priority="176" operator="equal">
      <formula>"+"</formula>
    </cfRule>
  </conditionalFormatting>
  <conditionalFormatting sqref="AV7:AV64 AV66:AV120 AV123:AV181">
    <cfRule type="cellIs" dxfId="173" priority="173" operator="equal">
      <formula>"-"</formula>
    </cfRule>
    <cfRule type="cellIs" dxfId="172" priority="174" operator="equal">
      <formula>"+"</formula>
    </cfRule>
  </conditionalFormatting>
  <conditionalFormatting sqref="M5">
    <cfRule type="cellIs" dxfId="171" priority="171" operator="equal">
      <formula>"да"</formula>
    </cfRule>
    <cfRule type="cellIs" dxfId="170" priority="172" operator="equal">
      <formula>"нет"</formula>
    </cfRule>
  </conditionalFormatting>
  <conditionalFormatting sqref="AJ5 AP5 AL5:AM5 AR5:AU5 AD5 AZ5:BI5 AW5:AX5">
    <cfRule type="cellIs" dxfId="169" priority="169" operator="equal">
      <formula>"-"</formula>
    </cfRule>
    <cfRule type="cellIs" dxfId="168" priority="170" operator="equal">
      <formula>"+"</formula>
    </cfRule>
  </conditionalFormatting>
  <conditionalFormatting sqref="AI5">
    <cfRule type="cellIs" dxfId="167" priority="167" operator="equal">
      <formula>"-"</formula>
    </cfRule>
    <cfRule type="cellIs" dxfId="166" priority="168" operator="equal">
      <formula>"+"</formula>
    </cfRule>
  </conditionalFormatting>
  <conditionalFormatting sqref="AO5">
    <cfRule type="cellIs" dxfId="165" priority="165" operator="equal">
      <formula>"-"</formula>
    </cfRule>
    <cfRule type="cellIs" dxfId="164" priority="166" operator="equal">
      <formula>"+"</formula>
    </cfRule>
  </conditionalFormatting>
  <conditionalFormatting sqref="AK5">
    <cfRule type="cellIs" dxfId="163" priority="163" operator="equal">
      <formula>"-"</formula>
    </cfRule>
    <cfRule type="cellIs" dxfId="162" priority="164" operator="equal">
      <formula>"+"</formula>
    </cfRule>
  </conditionalFormatting>
  <conditionalFormatting sqref="AQ5">
    <cfRule type="cellIs" dxfId="161" priority="161" operator="equal">
      <formula>"-"</formula>
    </cfRule>
    <cfRule type="cellIs" dxfId="160" priority="162" operator="equal">
      <formula>"+"</formula>
    </cfRule>
  </conditionalFormatting>
  <conditionalFormatting sqref="AN5">
    <cfRule type="cellIs" dxfId="159" priority="159" operator="equal">
      <formula>"-"</formula>
    </cfRule>
    <cfRule type="cellIs" dxfId="158" priority="160" operator="equal">
      <formula>"+"</formula>
    </cfRule>
  </conditionalFormatting>
  <conditionalFormatting sqref="AE5:AH5">
    <cfRule type="cellIs" dxfId="157" priority="157" operator="equal">
      <formula>"-"</formula>
    </cfRule>
    <cfRule type="cellIs" dxfId="156" priority="158" operator="equal">
      <formula>"+"</formula>
    </cfRule>
  </conditionalFormatting>
  <conditionalFormatting sqref="AC5">
    <cfRule type="cellIs" dxfId="155" priority="155" operator="equal">
      <formula>"-"</formula>
    </cfRule>
    <cfRule type="cellIs" dxfId="154" priority="156" operator="equal">
      <formula>"+"</formula>
    </cfRule>
  </conditionalFormatting>
  <conditionalFormatting sqref="S5:AB5">
    <cfRule type="cellIs" dxfId="153" priority="153" operator="equal">
      <formula>"-"</formula>
    </cfRule>
    <cfRule type="cellIs" dxfId="152" priority="154" operator="equal">
      <formula>"+"</formula>
    </cfRule>
  </conditionalFormatting>
  <conditionalFormatting sqref="O5:R5">
    <cfRule type="cellIs" dxfId="151" priority="151" operator="equal">
      <formula>"-"</formula>
    </cfRule>
    <cfRule type="cellIs" dxfId="150" priority="152" operator="equal">
      <formula>"+"</formula>
    </cfRule>
  </conditionalFormatting>
  <conditionalFormatting sqref="AY5">
    <cfRule type="cellIs" dxfId="149" priority="149" operator="equal">
      <formula>"-"</formula>
    </cfRule>
    <cfRule type="cellIs" dxfId="148" priority="150" operator="equal">
      <formula>"+"</formula>
    </cfRule>
  </conditionalFormatting>
  <conditionalFormatting sqref="BJ5">
    <cfRule type="cellIs" dxfId="147" priority="147" operator="equal">
      <formula>"-"</formula>
    </cfRule>
    <cfRule type="cellIs" dxfId="146" priority="148" operator="equal">
      <formula>"+"</formula>
    </cfRule>
  </conditionalFormatting>
  <conditionalFormatting sqref="AV5">
    <cfRule type="cellIs" dxfId="145" priority="145" operator="equal">
      <formula>"-"</formula>
    </cfRule>
    <cfRule type="cellIs" dxfId="144" priority="146" operator="equal">
      <formula>"+"</formula>
    </cfRule>
  </conditionalFormatting>
  <conditionalFormatting sqref="M4">
    <cfRule type="cellIs" dxfId="143" priority="143" operator="equal">
      <formula>"да"</formula>
    </cfRule>
    <cfRule type="cellIs" dxfId="142" priority="144" operator="equal">
      <formula>"нет"</formula>
    </cfRule>
  </conditionalFormatting>
  <conditionalFormatting sqref="AM4 AS4:AU4 AW4:AX4 AZ4:BI4 AD4">
    <cfRule type="cellIs" dxfId="141" priority="141" operator="equal">
      <formula>"-"</formula>
    </cfRule>
    <cfRule type="cellIs" dxfId="140" priority="142" operator="equal">
      <formula>"+"</formula>
    </cfRule>
  </conditionalFormatting>
  <conditionalFormatting sqref="AI4">
    <cfRule type="cellIs" dxfId="139" priority="139" operator="equal">
      <formula>"-"</formula>
    </cfRule>
    <cfRule type="cellIs" dxfId="138" priority="140" operator="equal">
      <formula>"+"</formula>
    </cfRule>
  </conditionalFormatting>
  <conditionalFormatting sqref="AR4">
    <cfRule type="cellIs" dxfId="137" priority="135" operator="equal">
      <formula>"-"</formula>
    </cfRule>
    <cfRule type="cellIs" dxfId="136" priority="136" operator="equal">
      <formula>"+"</formula>
    </cfRule>
  </conditionalFormatting>
  <conditionalFormatting sqref="AJ4">
    <cfRule type="cellIs" dxfId="135" priority="137" operator="equal">
      <formula>"-"</formula>
    </cfRule>
    <cfRule type="cellIs" dxfId="134" priority="138" operator="equal">
      <formula>"+"</formula>
    </cfRule>
  </conditionalFormatting>
  <conditionalFormatting sqref="AL4">
    <cfRule type="cellIs" dxfId="133" priority="133" operator="equal">
      <formula>"-"</formula>
    </cfRule>
    <cfRule type="cellIs" dxfId="132" priority="134" operator="equal">
      <formula>"+"</formula>
    </cfRule>
  </conditionalFormatting>
  <conditionalFormatting sqref="AP4">
    <cfRule type="cellIs" dxfId="131" priority="131" operator="equal">
      <formula>"-"</formula>
    </cfRule>
    <cfRule type="cellIs" dxfId="130" priority="132" operator="equal">
      <formula>"+"</formula>
    </cfRule>
  </conditionalFormatting>
  <conditionalFormatting sqref="AO4">
    <cfRule type="cellIs" dxfId="129" priority="129" operator="equal">
      <formula>"-"</formula>
    </cfRule>
    <cfRule type="cellIs" dxfId="128" priority="130" operator="equal">
      <formula>"+"</formula>
    </cfRule>
  </conditionalFormatting>
  <conditionalFormatting sqref="AK4">
    <cfRule type="cellIs" dxfId="127" priority="127" operator="equal">
      <formula>"-"</formula>
    </cfRule>
    <cfRule type="cellIs" dxfId="126" priority="128" operator="equal">
      <formula>"+"</formula>
    </cfRule>
  </conditionalFormatting>
  <conditionalFormatting sqref="AQ4">
    <cfRule type="cellIs" dxfId="125" priority="125" operator="equal">
      <formula>"-"</formula>
    </cfRule>
    <cfRule type="cellIs" dxfId="124" priority="126" operator="equal">
      <formula>"+"</formula>
    </cfRule>
  </conditionalFormatting>
  <conditionalFormatting sqref="AN4">
    <cfRule type="cellIs" dxfId="123" priority="123" operator="equal">
      <formula>"-"</formula>
    </cfRule>
    <cfRule type="cellIs" dxfId="122" priority="124" operator="equal">
      <formula>"+"</formula>
    </cfRule>
  </conditionalFormatting>
  <conditionalFormatting sqref="AE4:AH4">
    <cfRule type="cellIs" dxfId="121" priority="121" operator="equal">
      <formula>"-"</formula>
    </cfRule>
    <cfRule type="cellIs" dxfId="120" priority="122" operator="equal">
      <formula>"+"</formula>
    </cfRule>
  </conditionalFormatting>
  <conditionalFormatting sqref="AC4">
    <cfRule type="cellIs" dxfId="119" priority="119" operator="equal">
      <formula>"-"</formula>
    </cfRule>
    <cfRule type="cellIs" dxfId="118" priority="120" operator="equal">
      <formula>"+"</formula>
    </cfRule>
  </conditionalFormatting>
  <conditionalFormatting sqref="S4:AB4">
    <cfRule type="cellIs" dxfId="117" priority="117" operator="equal">
      <formula>"-"</formula>
    </cfRule>
    <cfRule type="cellIs" dxfId="116" priority="118" operator="equal">
      <formula>"+"</formula>
    </cfRule>
  </conditionalFormatting>
  <conditionalFormatting sqref="O4:R4">
    <cfRule type="cellIs" dxfId="115" priority="115" operator="equal">
      <formula>"-"</formula>
    </cfRule>
    <cfRule type="cellIs" dxfId="114" priority="116" operator="equal">
      <formula>"+"</formula>
    </cfRule>
  </conditionalFormatting>
  <conditionalFormatting sqref="AY4">
    <cfRule type="cellIs" dxfId="113" priority="113" operator="equal">
      <formula>"-"</formula>
    </cfRule>
    <cfRule type="cellIs" dxfId="112" priority="114" operator="equal">
      <formula>"+"</formula>
    </cfRule>
  </conditionalFormatting>
  <conditionalFormatting sqref="BJ4">
    <cfRule type="cellIs" dxfId="111" priority="111" operator="equal">
      <formula>"-"</formula>
    </cfRule>
    <cfRule type="cellIs" dxfId="110" priority="112" operator="equal">
      <formula>"+"</formula>
    </cfRule>
  </conditionalFormatting>
  <conditionalFormatting sqref="AV4">
    <cfRule type="cellIs" dxfId="109" priority="109" operator="equal">
      <formula>"-"</formula>
    </cfRule>
    <cfRule type="cellIs" dxfId="108" priority="110" operator="equal">
      <formula>"+"</formula>
    </cfRule>
  </conditionalFormatting>
  <conditionalFormatting sqref="M65">
    <cfRule type="cellIs" dxfId="107" priority="107" operator="equal">
      <formula>"да"</formula>
    </cfRule>
    <cfRule type="cellIs" dxfId="106" priority="108" operator="equal">
      <formula>"нет"</formula>
    </cfRule>
  </conditionalFormatting>
  <conditionalFormatting sqref="AM65 AD65 AZ65:BI65 AS65:AU65 AW65:AX65">
    <cfRule type="cellIs" dxfId="105" priority="105" operator="equal">
      <formula>"-"</formula>
    </cfRule>
    <cfRule type="cellIs" dxfId="104" priority="106" operator="equal">
      <formula>"+"</formula>
    </cfRule>
  </conditionalFormatting>
  <conditionalFormatting sqref="AI65">
    <cfRule type="cellIs" dxfId="103" priority="103" operator="equal">
      <formula>"-"</formula>
    </cfRule>
    <cfRule type="cellIs" dxfId="102" priority="104" operator="equal">
      <formula>"+"</formula>
    </cfRule>
  </conditionalFormatting>
  <conditionalFormatting sqref="AR65">
    <cfRule type="cellIs" dxfId="101" priority="99" operator="equal">
      <formula>"-"</formula>
    </cfRule>
    <cfRule type="cellIs" dxfId="100" priority="100" operator="equal">
      <formula>"+"</formula>
    </cfRule>
  </conditionalFormatting>
  <conditionalFormatting sqref="AJ65">
    <cfRule type="cellIs" dxfId="99" priority="101" operator="equal">
      <formula>"-"</formula>
    </cfRule>
    <cfRule type="cellIs" dxfId="98" priority="102" operator="equal">
      <formula>"+"</formula>
    </cfRule>
  </conditionalFormatting>
  <conditionalFormatting sqref="AL65">
    <cfRule type="cellIs" dxfId="97" priority="97" operator="equal">
      <formula>"-"</formula>
    </cfRule>
    <cfRule type="cellIs" dxfId="96" priority="98" operator="equal">
      <formula>"+"</formula>
    </cfRule>
  </conditionalFormatting>
  <conditionalFormatting sqref="AP65">
    <cfRule type="cellIs" dxfId="95" priority="95" operator="equal">
      <formula>"-"</formula>
    </cfRule>
    <cfRule type="cellIs" dxfId="94" priority="96" operator="equal">
      <formula>"+"</formula>
    </cfRule>
  </conditionalFormatting>
  <conditionalFormatting sqref="AO65">
    <cfRule type="cellIs" dxfId="93" priority="93" operator="equal">
      <formula>"-"</formula>
    </cfRule>
    <cfRule type="cellIs" dxfId="92" priority="94" operator="equal">
      <formula>"+"</formula>
    </cfRule>
  </conditionalFormatting>
  <conditionalFormatting sqref="AK65">
    <cfRule type="cellIs" dxfId="91" priority="91" operator="equal">
      <formula>"-"</formula>
    </cfRule>
    <cfRule type="cellIs" dxfId="90" priority="92" operator="equal">
      <formula>"+"</formula>
    </cfRule>
  </conditionalFormatting>
  <conditionalFormatting sqref="AQ65">
    <cfRule type="cellIs" dxfId="89" priority="89" operator="equal">
      <formula>"-"</formula>
    </cfRule>
    <cfRule type="cellIs" dxfId="88" priority="90" operator="equal">
      <formula>"+"</formula>
    </cfRule>
  </conditionalFormatting>
  <conditionalFormatting sqref="AN65">
    <cfRule type="cellIs" dxfId="87" priority="87" operator="equal">
      <formula>"-"</formula>
    </cfRule>
    <cfRule type="cellIs" dxfId="86" priority="88" operator="equal">
      <formula>"+"</formula>
    </cfRule>
  </conditionalFormatting>
  <conditionalFormatting sqref="AE65:AH65">
    <cfRule type="cellIs" dxfId="85" priority="85" operator="equal">
      <formula>"-"</formula>
    </cfRule>
    <cfRule type="cellIs" dxfId="84" priority="86" operator="equal">
      <formula>"+"</formula>
    </cfRule>
  </conditionalFormatting>
  <conditionalFormatting sqref="AC65">
    <cfRule type="cellIs" dxfId="83" priority="83" operator="equal">
      <formula>"-"</formula>
    </cfRule>
    <cfRule type="cellIs" dxfId="82" priority="84" operator="equal">
      <formula>"+"</formula>
    </cfRule>
  </conditionalFormatting>
  <conditionalFormatting sqref="S65:AB65">
    <cfRule type="cellIs" dxfId="81" priority="81" operator="equal">
      <formula>"-"</formula>
    </cfRule>
    <cfRule type="cellIs" dxfId="80" priority="82" operator="equal">
      <formula>"+"</formula>
    </cfRule>
  </conditionalFormatting>
  <conditionalFormatting sqref="O65:R65">
    <cfRule type="cellIs" dxfId="79" priority="79" operator="equal">
      <formula>"-"</formula>
    </cfRule>
    <cfRule type="cellIs" dxfId="78" priority="80" operator="equal">
      <formula>"+"</formula>
    </cfRule>
  </conditionalFormatting>
  <conditionalFormatting sqref="AY65">
    <cfRule type="cellIs" dxfId="77" priority="77" operator="equal">
      <formula>"-"</formula>
    </cfRule>
    <cfRule type="cellIs" dxfId="76" priority="78" operator="equal">
      <formula>"+"</formula>
    </cfRule>
  </conditionalFormatting>
  <conditionalFormatting sqref="BJ65">
    <cfRule type="cellIs" dxfId="75" priority="75" operator="equal">
      <formula>"-"</formula>
    </cfRule>
    <cfRule type="cellIs" dxfId="74" priority="76" operator="equal">
      <formula>"+"</formula>
    </cfRule>
  </conditionalFormatting>
  <conditionalFormatting sqref="AV65">
    <cfRule type="cellIs" dxfId="73" priority="73" operator="equal">
      <formula>"-"</formula>
    </cfRule>
    <cfRule type="cellIs" dxfId="72" priority="74" operator="equal">
      <formula>"+"</formula>
    </cfRule>
  </conditionalFormatting>
  <conditionalFormatting sqref="M121">
    <cfRule type="cellIs" dxfId="71" priority="71" operator="equal">
      <formula>"да"</formula>
    </cfRule>
    <cfRule type="cellIs" dxfId="70" priority="72" operator="equal">
      <formula>"нет"</formula>
    </cfRule>
  </conditionalFormatting>
  <conditionalFormatting sqref="AM121 AS121:AU121 AW121:AX121 AZ121:BI121 AD121">
    <cfRule type="cellIs" dxfId="69" priority="69" operator="equal">
      <formula>"-"</formula>
    </cfRule>
    <cfRule type="cellIs" dxfId="68" priority="70" operator="equal">
      <formula>"+"</formula>
    </cfRule>
  </conditionalFormatting>
  <conditionalFormatting sqref="AI121">
    <cfRule type="cellIs" dxfId="67" priority="67" operator="equal">
      <formula>"-"</formula>
    </cfRule>
    <cfRule type="cellIs" dxfId="66" priority="68" operator="equal">
      <formula>"+"</formula>
    </cfRule>
  </conditionalFormatting>
  <conditionalFormatting sqref="AR121">
    <cfRule type="cellIs" dxfId="65" priority="63" operator="equal">
      <formula>"-"</formula>
    </cfRule>
    <cfRule type="cellIs" dxfId="64" priority="64" operator="equal">
      <formula>"+"</formula>
    </cfRule>
  </conditionalFormatting>
  <conditionalFormatting sqref="AJ121">
    <cfRule type="cellIs" dxfId="63" priority="65" operator="equal">
      <formula>"-"</formula>
    </cfRule>
    <cfRule type="cellIs" dxfId="62" priority="66" operator="equal">
      <formula>"+"</formula>
    </cfRule>
  </conditionalFormatting>
  <conditionalFormatting sqref="AL121">
    <cfRule type="cellIs" dxfId="61" priority="61" operator="equal">
      <formula>"-"</formula>
    </cfRule>
    <cfRule type="cellIs" dxfId="60" priority="62" operator="equal">
      <formula>"+"</formula>
    </cfRule>
  </conditionalFormatting>
  <conditionalFormatting sqref="AP121">
    <cfRule type="cellIs" dxfId="59" priority="59" operator="equal">
      <formula>"-"</formula>
    </cfRule>
    <cfRule type="cellIs" dxfId="58" priority="60" operator="equal">
      <formula>"+"</formula>
    </cfRule>
  </conditionalFormatting>
  <conditionalFormatting sqref="AO121">
    <cfRule type="cellIs" dxfId="57" priority="57" operator="equal">
      <formula>"-"</formula>
    </cfRule>
    <cfRule type="cellIs" dxfId="56" priority="58" operator="equal">
      <formula>"+"</formula>
    </cfRule>
  </conditionalFormatting>
  <conditionalFormatting sqref="AK121">
    <cfRule type="cellIs" dxfId="55" priority="55" operator="equal">
      <formula>"-"</formula>
    </cfRule>
    <cfRule type="cellIs" dxfId="54" priority="56" operator="equal">
      <formula>"+"</formula>
    </cfRule>
  </conditionalFormatting>
  <conditionalFormatting sqref="AQ121">
    <cfRule type="cellIs" dxfId="53" priority="53" operator="equal">
      <formula>"-"</formula>
    </cfRule>
    <cfRule type="cellIs" dxfId="52" priority="54" operator="equal">
      <formula>"+"</formula>
    </cfRule>
  </conditionalFormatting>
  <conditionalFormatting sqref="AN121">
    <cfRule type="cellIs" dxfId="51" priority="51" operator="equal">
      <formula>"-"</formula>
    </cfRule>
    <cfRule type="cellIs" dxfId="50" priority="52" operator="equal">
      <formula>"+"</formula>
    </cfRule>
  </conditionalFormatting>
  <conditionalFormatting sqref="AE121:AH121">
    <cfRule type="cellIs" dxfId="49" priority="49" operator="equal">
      <formula>"-"</formula>
    </cfRule>
    <cfRule type="cellIs" dxfId="48" priority="50" operator="equal">
      <formula>"+"</formula>
    </cfRule>
  </conditionalFormatting>
  <conditionalFormatting sqref="AC121">
    <cfRule type="cellIs" dxfId="47" priority="47" operator="equal">
      <formula>"-"</formula>
    </cfRule>
    <cfRule type="cellIs" dxfId="46" priority="48" operator="equal">
      <formula>"+"</formula>
    </cfRule>
  </conditionalFormatting>
  <conditionalFormatting sqref="S121:AB121">
    <cfRule type="cellIs" dxfId="45" priority="45" operator="equal">
      <formula>"-"</formula>
    </cfRule>
    <cfRule type="cellIs" dxfId="44" priority="46" operator="equal">
      <formula>"+"</formula>
    </cfRule>
  </conditionalFormatting>
  <conditionalFormatting sqref="O121:R121">
    <cfRule type="cellIs" dxfId="43" priority="43" operator="equal">
      <formula>"-"</formula>
    </cfRule>
    <cfRule type="cellIs" dxfId="42" priority="44" operator="equal">
      <formula>"+"</formula>
    </cfRule>
  </conditionalFormatting>
  <conditionalFormatting sqref="AY121">
    <cfRule type="cellIs" dxfId="41" priority="41" operator="equal">
      <formula>"-"</formula>
    </cfRule>
    <cfRule type="cellIs" dxfId="40" priority="42" operator="equal">
      <formula>"+"</formula>
    </cfRule>
  </conditionalFormatting>
  <conditionalFormatting sqref="BJ121">
    <cfRule type="cellIs" dxfId="39" priority="39" operator="equal">
      <formula>"-"</formula>
    </cfRule>
    <cfRule type="cellIs" dxfId="38" priority="40" operator="equal">
      <formula>"+"</formula>
    </cfRule>
  </conditionalFormatting>
  <conditionalFormatting sqref="AV121">
    <cfRule type="cellIs" dxfId="37" priority="37" operator="equal">
      <formula>"-"</formula>
    </cfRule>
    <cfRule type="cellIs" dxfId="36" priority="38" operator="equal">
      <formula>"+"</formula>
    </cfRule>
  </conditionalFormatting>
  <conditionalFormatting sqref="M122">
    <cfRule type="cellIs" dxfId="35" priority="35" operator="equal">
      <formula>"да"</formula>
    </cfRule>
    <cfRule type="cellIs" dxfId="34" priority="36" operator="equal">
      <formula>"нет"</formula>
    </cfRule>
  </conditionalFormatting>
  <conditionalFormatting sqref="AM122 AS122:AU122 AW122:AX122 AZ122:BI122 AD122">
    <cfRule type="cellIs" dxfId="33" priority="33" operator="equal">
      <formula>"-"</formula>
    </cfRule>
    <cfRule type="cellIs" dxfId="32" priority="34" operator="equal">
      <formula>"+"</formula>
    </cfRule>
  </conditionalFormatting>
  <conditionalFormatting sqref="AI122">
    <cfRule type="cellIs" dxfId="31" priority="31" operator="equal">
      <formula>"-"</formula>
    </cfRule>
    <cfRule type="cellIs" dxfId="30" priority="32" operator="equal">
      <formula>"+"</formula>
    </cfRule>
  </conditionalFormatting>
  <conditionalFormatting sqref="AR122">
    <cfRule type="cellIs" dxfId="29" priority="27" operator="equal">
      <formula>"-"</formula>
    </cfRule>
    <cfRule type="cellIs" dxfId="28" priority="28" operator="equal">
      <formula>"+"</formula>
    </cfRule>
  </conditionalFormatting>
  <conditionalFormatting sqref="AJ122">
    <cfRule type="cellIs" dxfId="27" priority="29" operator="equal">
      <formula>"-"</formula>
    </cfRule>
    <cfRule type="cellIs" dxfId="26" priority="30" operator="equal">
      <formula>"+"</formula>
    </cfRule>
  </conditionalFormatting>
  <conditionalFormatting sqref="AL122">
    <cfRule type="cellIs" dxfId="25" priority="25" operator="equal">
      <formula>"-"</formula>
    </cfRule>
    <cfRule type="cellIs" dxfId="24" priority="26" operator="equal">
      <formula>"+"</formula>
    </cfRule>
  </conditionalFormatting>
  <conditionalFormatting sqref="AP122">
    <cfRule type="cellIs" dxfId="23" priority="23" operator="equal">
      <formula>"-"</formula>
    </cfRule>
    <cfRule type="cellIs" dxfId="22" priority="24" operator="equal">
      <formula>"+"</formula>
    </cfRule>
  </conditionalFormatting>
  <conditionalFormatting sqref="AO122">
    <cfRule type="cellIs" dxfId="21" priority="21" operator="equal">
      <formula>"-"</formula>
    </cfRule>
    <cfRule type="cellIs" dxfId="20" priority="22" operator="equal">
      <formula>"+"</formula>
    </cfRule>
  </conditionalFormatting>
  <conditionalFormatting sqref="AK122">
    <cfRule type="cellIs" dxfId="19" priority="19" operator="equal">
      <formula>"-"</formula>
    </cfRule>
    <cfRule type="cellIs" dxfId="18" priority="20" operator="equal">
      <formula>"+"</formula>
    </cfRule>
  </conditionalFormatting>
  <conditionalFormatting sqref="AQ122">
    <cfRule type="cellIs" dxfId="17" priority="17" operator="equal">
      <formula>"-"</formula>
    </cfRule>
    <cfRule type="cellIs" dxfId="16" priority="18" operator="equal">
      <formula>"+"</formula>
    </cfRule>
  </conditionalFormatting>
  <conditionalFormatting sqref="AN122">
    <cfRule type="cellIs" dxfId="15" priority="15" operator="equal">
      <formula>"-"</formula>
    </cfRule>
    <cfRule type="cellIs" dxfId="14" priority="16" operator="equal">
      <formula>"+"</formula>
    </cfRule>
  </conditionalFormatting>
  <conditionalFormatting sqref="AE122:AH122">
    <cfRule type="cellIs" dxfId="13" priority="13" operator="equal">
      <formula>"-"</formula>
    </cfRule>
    <cfRule type="cellIs" dxfId="12" priority="14" operator="equal">
      <formula>"+"</formula>
    </cfRule>
  </conditionalFormatting>
  <conditionalFormatting sqref="AC122">
    <cfRule type="cellIs" dxfId="11" priority="11" operator="equal">
      <formula>"-"</formula>
    </cfRule>
    <cfRule type="cellIs" dxfId="10" priority="12" operator="equal">
      <formula>"+"</formula>
    </cfRule>
  </conditionalFormatting>
  <conditionalFormatting sqref="S122:AB122">
    <cfRule type="cellIs" dxfId="9" priority="9" operator="equal">
      <formula>"-"</formula>
    </cfRule>
    <cfRule type="cellIs" dxfId="8" priority="10" operator="equal">
      <formula>"+"</formula>
    </cfRule>
  </conditionalFormatting>
  <conditionalFormatting sqref="O122:R122">
    <cfRule type="cellIs" dxfId="7" priority="7" operator="equal">
      <formula>"-"</formula>
    </cfRule>
    <cfRule type="cellIs" dxfId="6" priority="8" operator="equal">
      <formula>"+"</formula>
    </cfRule>
  </conditionalFormatting>
  <conditionalFormatting sqref="AY122">
    <cfRule type="cellIs" dxfId="5" priority="5" operator="equal">
      <formula>"-"</formula>
    </cfRule>
    <cfRule type="cellIs" dxfId="4" priority="6" operator="equal">
      <formula>"+"</formula>
    </cfRule>
  </conditionalFormatting>
  <conditionalFormatting sqref="BJ122">
    <cfRule type="cellIs" dxfId="3" priority="3" operator="equal">
      <formula>"-"</formula>
    </cfRule>
    <cfRule type="cellIs" dxfId="2" priority="4" operator="equal">
      <formula>"+"</formula>
    </cfRule>
  </conditionalFormatting>
  <conditionalFormatting sqref="AV122">
    <cfRule type="cellIs" dxfId="1" priority="1" operator="equal">
      <formula>"-"</formula>
    </cfRule>
    <cfRule type="cellIs" dxfId="0" priority="2" operator="equal">
      <formula>"+"</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94"/>
  <sheetViews>
    <sheetView workbookViewId="0">
      <selection activeCell="C19" sqref="C19"/>
    </sheetView>
  </sheetViews>
  <sheetFormatPr defaultRowHeight="14.4" x14ac:dyDescent="0.3"/>
  <cols>
    <col min="1" max="1" width="15.44140625" style="37" bestFit="1" customWidth="1"/>
    <col min="2" max="2" width="29.109375" customWidth="1"/>
    <col min="3" max="3" width="53.5546875" style="37" bestFit="1" customWidth="1"/>
    <col min="4" max="4" width="54.109375" style="37" bestFit="1" customWidth="1"/>
    <col min="5" max="5" width="60.33203125" style="37" bestFit="1" customWidth="1"/>
    <col min="6" max="6" width="9.109375" style="37"/>
    <col min="7" max="7" width="14.33203125" style="37" customWidth="1"/>
    <col min="8" max="9" width="9.109375" style="37"/>
  </cols>
  <sheetData>
    <row r="1" spans="1:1" ht="28.8" x14ac:dyDescent="0.3">
      <c r="A1" s="36" t="s">
        <v>719</v>
      </c>
    </row>
    <row r="2" spans="1:1" x14ac:dyDescent="0.3">
      <c r="A2" s="34" t="s">
        <v>202</v>
      </c>
    </row>
    <row r="3" spans="1:1" x14ac:dyDescent="0.3">
      <c r="A3" s="34" t="s">
        <v>711</v>
      </c>
    </row>
    <row r="4" spans="1:1" x14ac:dyDescent="0.3">
      <c r="A4" s="34" t="s">
        <v>296</v>
      </c>
    </row>
    <row r="5" spans="1:1" x14ac:dyDescent="0.3">
      <c r="A5" s="34" t="s">
        <v>298</v>
      </c>
    </row>
    <row r="6" spans="1:1" x14ac:dyDescent="0.3">
      <c r="A6" s="34" t="s">
        <v>712</v>
      </c>
    </row>
    <row r="7" spans="1:1" x14ac:dyDescent="0.3">
      <c r="A7" s="34" t="s">
        <v>299</v>
      </c>
    </row>
    <row r="8" spans="1:1" x14ac:dyDescent="0.3">
      <c r="A8" s="34" t="s">
        <v>300</v>
      </c>
    </row>
    <row r="9" spans="1:1" x14ac:dyDescent="0.3">
      <c r="A9" s="34" t="s">
        <v>195</v>
      </c>
    </row>
    <row r="10" spans="1:1" x14ac:dyDescent="0.3">
      <c r="A10" s="34" t="s">
        <v>713</v>
      </c>
    </row>
    <row r="11" spans="1:1" x14ac:dyDescent="0.3">
      <c r="A11" s="34" t="s">
        <v>301</v>
      </c>
    </row>
    <row r="12" spans="1:1" x14ac:dyDescent="0.3">
      <c r="A12" s="34" t="s">
        <v>303</v>
      </c>
    </row>
    <row r="13" spans="1:1" x14ac:dyDescent="0.3">
      <c r="A13" s="34" t="s">
        <v>304</v>
      </c>
    </row>
    <row r="14" spans="1:1" x14ac:dyDescent="0.3">
      <c r="A14" s="34" t="s">
        <v>758</v>
      </c>
    </row>
    <row r="15" spans="1:1" x14ac:dyDescent="0.3">
      <c r="A15" s="34" t="s">
        <v>287</v>
      </c>
    </row>
    <row r="16" spans="1:1" x14ac:dyDescent="0.3">
      <c r="A16" s="34" t="s">
        <v>288</v>
      </c>
    </row>
    <row r="17" spans="1:1" x14ac:dyDescent="0.3">
      <c r="A17" s="34" t="s">
        <v>286</v>
      </c>
    </row>
    <row r="18" spans="1:1" x14ac:dyDescent="0.3">
      <c r="A18" s="34" t="s">
        <v>290</v>
      </c>
    </row>
    <row r="19" spans="1:1" x14ac:dyDescent="0.3">
      <c r="A19" s="34" t="s">
        <v>291</v>
      </c>
    </row>
    <row r="20" spans="1:1" x14ac:dyDescent="0.3">
      <c r="A20" s="34" t="s">
        <v>293</v>
      </c>
    </row>
    <row r="21" spans="1:1" x14ac:dyDescent="0.3">
      <c r="A21" s="35" t="s">
        <v>289</v>
      </c>
    </row>
    <row r="22" spans="1:1" x14ac:dyDescent="0.3">
      <c r="A22" s="35" t="s">
        <v>273</v>
      </c>
    </row>
    <row r="23" spans="1:1" x14ac:dyDescent="0.3">
      <c r="A23" s="35" t="s">
        <v>292</v>
      </c>
    </row>
    <row r="24" spans="1:1" x14ac:dyDescent="0.3">
      <c r="A24" s="35" t="s">
        <v>714</v>
      </c>
    </row>
    <row r="25" spans="1:1" x14ac:dyDescent="0.3">
      <c r="A25" s="35" t="s">
        <v>715</v>
      </c>
    </row>
    <row r="26" spans="1:1" x14ac:dyDescent="0.3">
      <c r="A26" s="35" t="s">
        <v>294</v>
      </c>
    </row>
    <row r="27" spans="1:1" x14ac:dyDescent="0.3">
      <c r="A27" s="35" t="s">
        <v>295</v>
      </c>
    </row>
    <row r="28" spans="1:1" x14ac:dyDescent="0.3">
      <c r="A28" s="34" t="s">
        <v>272</v>
      </c>
    </row>
    <row r="29" spans="1:1" x14ac:dyDescent="0.3">
      <c r="A29" s="34" t="s">
        <v>285</v>
      </c>
    </row>
    <row r="30" spans="1:1" x14ac:dyDescent="0.3">
      <c r="A30" s="34" t="s">
        <v>716</v>
      </c>
    </row>
    <row r="31" spans="1:1" x14ac:dyDescent="0.3">
      <c r="A31" s="35" t="s">
        <v>264</v>
      </c>
    </row>
    <row r="32" spans="1:1" x14ac:dyDescent="0.3">
      <c r="A32" s="35" t="s">
        <v>265</v>
      </c>
    </row>
    <row r="33" spans="1:1" x14ac:dyDescent="0.3">
      <c r="A33" s="35" t="s">
        <v>266</v>
      </c>
    </row>
    <row r="34" spans="1:1" x14ac:dyDescent="0.3">
      <c r="A34" s="35" t="s">
        <v>267</v>
      </c>
    </row>
    <row r="35" spans="1:1" x14ac:dyDescent="0.3">
      <c r="A35" s="35" t="s">
        <v>268</v>
      </c>
    </row>
    <row r="36" spans="1:1" x14ac:dyDescent="0.3">
      <c r="A36" s="35" t="s">
        <v>717</v>
      </c>
    </row>
    <row r="37" spans="1:1" x14ac:dyDescent="0.3">
      <c r="A37" s="34" t="s">
        <v>269</v>
      </c>
    </row>
    <row r="38" spans="1:1" x14ac:dyDescent="0.3">
      <c r="A38" s="34" t="s">
        <v>270</v>
      </c>
    </row>
    <row r="39" spans="1:1" x14ac:dyDescent="0.3">
      <c r="A39" s="34" t="s">
        <v>271</v>
      </c>
    </row>
    <row r="40" spans="1:1" x14ac:dyDescent="0.3">
      <c r="A40" s="34" t="s">
        <v>284</v>
      </c>
    </row>
    <row r="41" spans="1:1" x14ac:dyDescent="0.3">
      <c r="A41" s="34" t="s">
        <v>283</v>
      </c>
    </row>
    <row r="42" spans="1:1" x14ac:dyDescent="0.3">
      <c r="A42" s="35" t="s">
        <v>262</v>
      </c>
    </row>
    <row r="43" spans="1:1" x14ac:dyDescent="0.3">
      <c r="A43" s="34" t="s">
        <v>282</v>
      </c>
    </row>
    <row r="44" spans="1:1" x14ac:dyDescent="0.3">
      <c r="A44" s="34" t="s">
        <v>261</v>
      </c>
    </row>
    <row r="45" spans="1:1" x14ac:dyDescent="0.3">
      <c r="A45" s="35" t="s">
        <v>281</v>
      </c>
    </row>
    <row r="46" spans="1:1" x14ac:dyDescent="0.3">
      <c r="A46" s="35" t="s">
        <v>259</v>
      </c>
    </row>
    <row r="47" spans="1:1" x14ac:dyDescent="0.3">
      <c r="A47" s="34" t="s">
        <v>260</v>
      </c>
    </row>
    <row r="48" spans="1:1" x14ac:dyDescent="0.3">
      <c r="A48" s="35" t="s">
        <v>280</v>
      </c>
    </row>
    <row r="49" spans="1:3" x14ac:dyDescent="0.3">
      <c r="A49" s="35" t="s">
        <v>279</v>
      </c>
    </row>
    <row r="50" spans="1:3" x14ac:dyDescent="0.3">
      <c r="A50" s="34" t="s">
        <v>274</v>
      </c>
    </row>
    <row r="51" spans="1:3" x14ac:dyDescent="0.3">
      <c r="A51" s="34" t="s">
        <v>275</v>
      </c>
    </row>
    <row r="52" spans="1:3" x14ac:dyDescent="0.3">
      <c r="A52" s="34" t="s">
        <v>276</v>
      </c>
    </row>
    <row r="53" spans="1:3" x14ac:dyDescent="0.3">
      <c r="A53" s="34" t="s">
        <v>277</v>
      </c>
    </row>
    <row r="54" spans="1:3" x14ac:dyDescent="0.3">
      <c r="A54" s="34" t="s">
        <v>278</v>
      </c>
    </row>
    <row r="55" spans="1:3" x14ac:dyDescent="0.3">
      <c r="A55" s="34" t="s">
        <v>718</v>
      </c>
    </row>
    <row r="59" spans="1:3" x14ac:dyDescent="0.3">
      <c r="A59" s="38" t="s">
        <v>720</v>
      </c>
      <c r="B59" s="38" t="s">
        <v>721</v>
      </c>
    </row>
    <row r="60" spans="1:3" x14ac:dyDescent="0.3">
      <c r="A60" s="18">
        <v>1101</v>
      </c>
      <c r="B60" s="26" t="s">
        <v>182</v>
      </c>
      <c r="C60" s="37" t="str">
        <f>CONCATENATE(A60,"_",B60)</f>
        <v>1101_Грант Фонда Сколково</v>
      </c>
    </row>
    <row r="61" spans="1:3" x14ac:dyDescent="0.3">
      <c r="A61" s="17">
        <v>1201</v>
      </c>
      <c r="B61" s="16" t="s">
        <v>176</v>
      </c>
      <c r="C61" s="37" t="str">
        <f t="shared" ref="C61:C75" si="0">CONCATENATE(A61,"_",B61)</f>
        <v>1201_Средства МОН</v>
      </c>
    </row>
    <row r="62" spans="1:3" x14ac:dyDescent="0.3">
      <c r="A62" s="17">
        <v>1202</v>
      </c>
      <c r="B62" s="16" t="s">
        <v>194</v>
      </c>
      <c r="C62" s="37" t="str">
        <f t="shared" si="0"/>
        <v>1202_Выполнение работ по субподряду для МОН</v>
      </c>
    </row>
    <row r="63" spans="1:3" x14ac:dyDescent="0.3">
      <c r="A63" s="18">
        <v>1301</v>
      </c>
      <c r="B63" s="17" t="s">
        <v>177</v>
      </c>
      <c r="C63" s="37" t="str">
        <f t="shared" si="0"/>
        <v>1301_Гранты не Сколково</v>
      </c>
    </row>
    <row r="64" spans="1:3" x14ac:dyDescent="0.3">
      <c r="A64" s="18">
        <v>2101</v>
      </c>
      <c r="B64" s="17" t="s">
        <v>178</v>
      </c>
      <c r="C64" s="37" t="str">
        <f t="shared" si="0"/>
        <v>2101_Доходы от НИОКР для коммерческих организаций</v>
      </c>
    </row>
    <row r="65" spans="1:3" x14ac:dyDescent="0.3">
      <c r="A65" s="18">
        <v>2102</v>
      </c>
      <c r="B65" s="17" t="s">
        <v>757</v>
      </c>
      <c r="C65" s="37" t="str">
        <f t="shared" si="0"/>
        <v>2102_Остатки денежных средств по коммерческим контрактам</v>
      </c>
    </row>
    <row r="66" spans="1:3" x14ac:dyDescent="0.3">
      <c r="A66" s="18">
        <v>2103</v>
      </c>
      <c r="B66" s="17" t="s">
        <v>759</v>
      </c>
      <c r="C66" s="37" t="str">
        <f t="shared" si="0"/>
        <v>2103_Лабораторно-аналитические работы</v>
      </c>
    </row>
    <row r="67" spans="1:3" x14ac:dyDescent="0.3">
      <c r="A67" s="18">
        <v>2201</v>
      </c>
      <c r="B67" s="17" t="s">
        <v>183</v>
      </c>
      <c r="C67" s="37" t="str">
        <f t="shared" si="0"/>
        <v>2201_Доходы от образовательных услуг</v>
      </c>
    </row>
    <row r="68" spans="1:3" x14ac:dyDescent="0.3">
      <c r="A68" s="18">
        <v>2202</v>
      </c>
      <c r="B68" s="17" t="s">
        <v>184</v>
      </c>
      <c r="C68" s="37" t="str">
        <f t="shared" si="0"/>
        <v>2202_Доходы от консультационных услуг</v>
      </c>
    </row>
    <row r="69" spans="1:3" x14ac:dyDescent="0.3">
      <c r="A69" s="18">
        <v>2203</v>
      </c>
      <c r="B69" s="17" t="s">
        <v>185</v>
      </c>
      <c r="C69" s="37" t="str">
        <f t="shared" si="0"/>
        <v>2203_Доход от лицензий</v>
      </c>
    </row>
    <row r="70" spans="1:3" x14ac:dyDescent="0.3">
      <c r="A70" s="18">
        <v>2301</v>
      </c>
      <c r="B70" s="17" t="s">
        <v>179</v>
      </c>
      <c r="C70" s="37" t="str">
        <f t="shared" si="0"/>
        <v>2301_Спонсируемые исследования</v>
      </c>
    </row>
    <row r="71" spans="1:3" x14ac:dyDescent="0.3">
      <c r="A71" s="18">
        <v>2501</v>
      </c>
      <c r="B71" s="17" t="s">
        <v>186</v>
      </c>
      <c r="C71" s="37" t="str">
        <f t="shared" si="0"/>
        <v>2501_Прочие операционные доходы</v>
      </c>
    </row>
    <row r="72" spans="1:3" x14ac:dyDescent="0.3">
      <c r="A72" s="18">
        <v>3101</v>
      </c>
      <c r="B72" s="17" t="s">
        <v>180</v>
      </c>
      <c r="C72" s="37" t="str">
        <f t="shared" si="0"/>
        <v>3101_Доход от ФЦК</v>
      </c>
    </row>
    <row r="73" spans="1:3" x14ac:dyDescent="0.3">
      <c r="A73" s="18">
        <v>3102</v>
      </c>
      <c r="B73" s="17" t="s">
        <v>187</v>
      </c>
      <c r="C73" s="37" t="str">
        <f t="shared" si="0"/>
        <v>3102_ФЦК под списание</v>
      </c>
    </row>
    <row r="74" spans="1:3" x14ac:dyDescent="0.3">
      <c r="A74" s="18">
        <v>3103</v>
      </c>
      <c r="B74" s="17" t="s">
        <v>188</v>
      </c>
      <c r="C74" s="37" t="str">
        <f t="shared" si="0"/>
        <v>3103_Спонсорство и пожертвования</v>
      </c>
    </row>
    <row r="75" spans="1:3" x14ac:dyDescent="0.3">
      <c r="A75" s="18">
        <v>4104</v>
      </c>
      <c r="B75" s="17" t="s">
        <v>189</v>
      </c>
      <c r="C75" s="37" t="str">
        <f t="shared" si="0"/>
        <v>4104_Прочий не операционный доход</v>
      </c>
    </row>
    <row r="79" spans="1:3" x14ac:dyDescent="0.3">
      <c r="A79" s="37" t="s">
        <v>722</v>
      </c>
    </row>
    <row r="80" spans="1:3" x14ac:dyDescent="0.3">
      <c r="A80" s="37" t="s">
        <v>723</v>
      </c>
    </row>
    <row r="81" spans="1:1" x14ac:dyDescent="0.3">
      <c r="A81" s="37" t="s">
        <v>724</v>
      </c>
    </row>
    <row r="82" spans="1:1" x14ac:dyDescent="0.3">
      <c r="A82" s="37" t="s">
        <v>725</v>
      </c>
    </row>
    <row r="83" spans="1:1" x14ac:dyDescent="0.3">
      <c r="A83" s="37" t="s">
        <v>726</v>
      </c>
    </row>
    <row r="91" spans="1:1" x14ac:dyDescent="0.3">
      <c r="A91" s="37" t="s">
        <v>727</v>
      </c>
    </row>
    <row r="92" spans="1:1" x14ac:dyDescent="0.3">
      <c r="A92" s="39">
        <v>0</v>
      </c>
    </row>
    <row r="93" spans="1:1" x14ac:dyDescent="0.3">
      <c r="A93" s="39">
        <v>0.2</v>
      </c>
    </row>
    <row r="94" spans="1:1" x14ac:dyDescent="0.3">
      <c r="A94" s="39"/>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C15"/>
  <sheetViews>
    <sheetView topLeftCell="A10" workbookViewId="0">
      <selection activeCell="B12" sqref="B12"/>
    </sheetView>
  </sheetViews>
  <sheetFormatPr defaultColWidth="69.5546875" defaultRowHeight="14.4" x14ac:dyDescent="0.3"/>
  <cols>
    <col min="1" max="1" width="9.109375" customWidth="1"/>
    <col min="2" max="2" width="76.33203125" style="47" customWidth="1"/>
  </cols>
  <sheetData>
    <row r="2" spans="1:3" ht="28.8" x14ac:dyDescent="0.3">
      <c r="A2">
        <v>1</v>
      </c>
      <c r="B2" s="47" t="s">
        <v>740</v>
      </c>
      <c r="C2" t="s">
        <v>749</v>
      </c>
    </row>
    <row r="3" spans="1:3" x14ac:dyDescent="0.3">
      <c r="A3">
        <v>2</v>
      </c>
      <c r="B3" s="47" t="s">
        <v>739</v>
      </c>
      <c r="C3" t="s">
        <v>749</v>
      </c>
    </row>
    <row r="4" spans="1:3" x14ac:dyDescent="0.3">
      <c r="A4">
        <v>3</v>
      </c>
      <c r="B4" s="47" t="s">
        <v>628</v>
      </c>
      <c r="C4" t="s">
        <v>749</v>
      </c>
    </row>
    <row r="5" spans="1:3" x14ac:dyDescent="0.3">
      <c r="A5">
        <v>4</v>
      </c>
      <c r="B5" s="47" t="s">
        <v>741</v>
      </c>
      <c r="C5" t="s">
        <v>749</v>
      </c>
    </row>
    <row r="6" spans="1:3" x14ac:dyDescent="0.3">
      <c r="A6">
        <v>5</v>
      </c>
      <c r="B6" s="47" t="s">
        <v>742</v>
      </c>
      <c r="C6" t="s">
        <v>749</v>
      </c>
    </row>
    <row r="7" spans="1:3" x14ac:dyDescent="0.3">
      <c r="A7">
        <v>6</v>
      </c>
      <c r="B7" s="47" t="s">
        <v>743</v>
      </c>
      <c r="C7" t="s">
        <v>749</v>
      </c>
    </row>
    <row r="8" spans="1:3" x14ac:dyDescent="0.3">
      <c r="A8">
        <v>7</v>
      </c>
      <c r="B8" s="47" t="s">
        <v>744</v>
      </c>
      <c r="C8" t="s">
        <v>749</v>
      </c>
    </row>
    <row r="9" spans="1:3" x14ac:dyDescent="0.3">
      <c r="A9">
        <v>8</v>
      </c>
      <c r="B9" s="47" t="s">
        <v>745</v>
      </c>
      <c r="C9" t="s">
        <v>749</v>
      </c>
    </row>
    <row r="10" spans="1:3" x14ac:dyDescent="0.3">
      <c r="B10" s="47" t="s">
        <v>748</v>
      </c>
    </row>
    <row r="11" spans="1:3" ht="100.8" x14ac:dyDescent="0.3">
      <c r="B11" s="101" t="s">
        <v>746</v>
      </c>
      <c r="C11" t="s">
        <v>749</v>
      </c>
    </row>
    <row r="12" spans="1:3" x14ac:dyDescent="0.3">
      <c r="B12" s="101" t="s">
        <v>747</v>
      </c>
    </row>
    <row r="13" spans="1:3" x14ac:dyDescent="0.3">
      <c r="A13">
        <v>9</v>
      </c>
      <c r="B13" s="47" t="s">
        <v>750</v>
      </c>
    </row>
    <row r="14" spans="1:3" x14ac:dyDescent="0.3">
      <c r="A14">
        <v>10</v>
      </c>
      <c r="B14" s="47" t="s">
        <v>755</v>
      </c>
      <c r="C14" t="s">
        <v>749</v>
      </c>
    </row>
    <row r="15" spans="1:3" x14ac:dyDescent="0.3">
      <c r="A15">
        <v>11</v>
      </c>
      <c r="B15" s="47" t="s">
        <v>756</v>
      </c>
    </row>
  </sheetData>
  <pageMargins left="0.7" right="0.7" top="0.75" bottom="0.75" header="0.3" footer="0.3"/>
  <pageSetup paperSize="9" orientation="portrait" horizontalDpi="4294967295" verticalDpi="4294967295"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G74"/>
  <sheetViews>
    <sheetView topLeftCell="C52" workbookViewId="0">
      <selection activeCell="G10" sqref="G10"/>
    </sheetView>
  </sheetViews>
  <sheetFormatPr defaultRowHeight="14.4" x14ac:dyDescent="0.3"/>
  <cols>
    <col min="1" max="1" width="7" style="5" bestFit="1" customWidth="1"/>
    <col min="2" max="2" width="59" style="5" customWidth="1"/>
    <col min="3" max="3" width="7" bestFit="1" customWidth="1"/>
    <col min="4" max="5" width="46.44140625" customWidth="1"/>
    <col min="6" max="6" width="45.33203125" style="15" bestFit="1" customWidth="1"/>
    <col min="7" max="7" width="70.6640625" bestFit="1" customWidth="1"/>
  </cols>
  <sheetData>
    <row r="1" spans="1:7" x14ac:dyDescent="0.3">
      <c r="B1" s="5" t="s">
        <v>60</v>
      </c>
      <c r="C1" s="5"/>
      <c r="D1" s="5" t="s">
        <v>61</v>
      </c>
      <c r="E1" s="12" t="s">
        <v>156</v>
      </c>
      <c r="F1" s="12" t="s">
        <v>127</v>
      </c>
      <c r="G1" s="12" t="s">
        <v>108</v>
      </c>
    </row>
    <row r="2" spans="1:7" x14ac:dyDescent="0.3">
      <c r="A2" s="7">
        <v>110200</v>
      </c>
      <c r="B2" s="7" t="s">
        <v>47</v>
      </c>
      <c r="C2" s="1">
        <v>110201</v>
      </c>
      <c r="D2" s="2" t="s">
        <v>8</v>
      </c>
      <c r="E2" s="13" t="s">
        <v>152</v>
      </c>
      <c r="F2" s="13" t="s">
        <v>128</v>
      </c>
      <c r="G2" s="8" t="s">
        <v>96</v>
      </c>
    </row>
    <row r="3" spans="1:7" x14ac:dyDescent="0.3">
      <c r="A3" s="6"/>
      <c r="B3" s="6"/>
      <c r="C3" s="3">
        <v>110202</v>
      </c>
      <c r="D3" s="4" t="s">
        <v>9</v>
      </c>
      <c r="E3" s="14"/>
      <c r="F3" s="14"/>
      <c r="G3" s="8" t="s">
        <v>107</v>
      </c>
    </row>
    <row r="4" spans="1:7" x14ac:dyDescent="0.3">
      <c r="A4" s="7"/>
      <c r="B4" s="7"/>
      <c r="C4" s="1">
        <v>110203</v>
      </c>
      <c r="D4" s="2" t="s">
        <v>10</v>
      </c>
      <c r="E4" s="14"/>
      <c r="F4" s="14" t="s">
        <v>129</v>
      </c>
      <c r="G4" s="8" t="s">
        <v>109</v>
      </c>
    </row>
    <row r="5" spans="1:7" x14ac:dyDescent="0.3">
      <c r="A5" s="6"/>
      <c r="B5" s="6"/>
      <c r="C5" s="3">
        <v>110204</v>
      </c>
      <c r="D5" s="4" t="s">
        <v>11</v>
      </c>
      <c r="E5" s="14"/>
      <c r="F5" s="14"/>
      <c r="G5" s="8" t="s">
        <v>110</v>
      </c>
    </row>
    <row r="6" spans="1:7" x14ac:dyDescent="0.3">
      <c r="A6" s="7"/>
      <c r="B6" s="7"/>
      <c r="C6" s="1">
        <v>110205</v>
      </c>
      <c r="D6" s="2" t="s">
        <v>12</v>
      </c>
      <c r="E6" s="13"/>
      <c r="F6" s="13" t="s">
        <v>130</v>
      </c>
      <c r="G6" s="9" t="s">
        <v>101</v>
      </c>
    </row>
    <row r="7" spans="1:7" x14ac:dyDescent="0.3">
      <c r="A7" s="6"/>
      <c r="B7" s="6"/>
      <c r="C7" s="3">
        <v>110209</v>
      </c>
      <c r="D7" s="4" t="s">
        <v>36</v>
      </c>
      <c r="E7" s="14"/>
      <c r="F7" s="14"/>
      <c r="G7" s="8" t="s">
        <v>102</v>
      </c>
    </row>
    <row r="8" spans="1:7" x14ac:dyDescent="0.3">
      <c r="A8" s="7"/>
      <c r="B8" s="7"/>
      <c r="C8" s="1">
        <v>110211</v>
      </c>
      <c r="D8" s="2" t="s">
        <v>37</v>
      </c>
      <c r="E8" s="13"/>
      <c r="F8" s="13"/>
      <c r="G8" s="9" t="s">
        <v>103</v>
      </c>
    </row>
    <row r="9" spans="1:7" x14ac:dyDescent="0.3">
      <c r="A9" s="6"/>
      <c r="B9" s="6"/>
      <c r="C9" s="3"/>
      <c r="D9" s="4"/>
      <c r="E9" s="14"/>
      <c r="F9" s="14"/>
      <c r="G9" s="8" t="s">
        <v>104</v>
      </c>
    </row>
    <row r="10" spans="1:7" x14ac:dyDescent="0.3">
      <c r="A10" s="7">
        <v>120300</v>
      </c>
      <c r="B10" s="7" t="s">
        <v>48</v>
      </c>
      <c r="C10" s="1">
        <v>120301</v>
      </c>
      <c r="D10" s="2" t="s">
        <v>38</v>
      </c>
      <c r="E10" s="13"/>
      <c r="F10" s="13"/>
      <c r="G10" s="9" t="s">
        <v>105</v>
      </c>
    </row>
    <row r="11" spans="1:7" x14ac:dyDescent="0.3">
      <c r="A11" s="6"/>
      <c r="B11" s="6"/>
      <c r="C11" s="3"/>
      <c r="D11" s="4"/>
      <c r="E11" s="14"/>
      <c r="F11" s="14"/>
      <c r="G11" s="8" t="s">
        <v>106</v>
      </c>
    </row>
    <row r="12" spans="1:7" x14ac:dyDescent="0.3">
      <c r="A12" s="7">
        <v>210100</v>
      </c>
      <c r="B12" s="7" t="s">
        <v>49</v>
      </c>
      <c r="C12" s="1">
        <v>210101</v>
      </c>
      <c r="D12" s="2" t="s">
        <v>13</v>
      </c>
      <c r="E12" s="13"/>
      <c r="F12" s="13" t="s">
        <v>131</v>
      </c>
      <c r="G12" s="9" t="s">
        <v>79</v>
      </c>
    </row>
    <row r="13" spans="1:7" x14ac:dyDescent="0.3">
      <c r="A13" s="6"/>
      <c r="B13" s="6"/>
      <c r="C13" s="3">
        <v>210103</v>
      </c>
      <c r="D13" s="4" t="s">
        <v>14</v>
      </c>
      <c r="E13" s="13"/>
      <c r="F13" s="13"/>
      <c r="G13" s="9" t="s">
        <v>80</v>
      </c>
    </row>
    <row r="14" spans="1:7" x14ac:dyDescent="0.3">
      <c r="A14" s="7"/>
      <c r="B14" s="7"/>
      <c r="C14" s="1">
        <v>210104</v>
      </c>
      <c r="D14" s="2" t="s">
        <v>40</v>
      </c>
      <c r="E14" s="14"/>
      <c r="F14" s="14"/>
      <c r="G14" s="8" t="s">
        <v>81</v>
      </c>
    </row>
    <row r="15" spans="1:7" x14ac:dyDescent="0.3">
      <c r="A15" s="6"/>
      <c r="B15" s="6"/>
      <c r="C15" s="3">
        <v>210105</v>
      </c>
      <c r="D15" s="4" t="s">
        <v>15</v>
      </c>
      <c r="E15" s="13"/>
      <c r="F15" s="13"/>
      <c r="G15" s="9" t="s">
        <v>82</v>
      </c>
    </row>
    <row r="16" spans="1:7" x14ac:dyDescent="0.3">
      <c r="A16" s="7"/>
      <c r="B16" s="7"/>
      <c r="C16" s="1"/>
      <c r="D16" s="2"/>
      <c r="E16" s="14"/>
      <c r="F16" s="14"/>
      <c r="G16" s="8" t="s">
        <v>83</v>
      </c>
    </row>
    <row r="17" spans="1:7" x14ac:dyDescent="0.3">
      <c r="A17" s="6">
        <v>220900</v>
      </c>
      <c r="B17" s="6" t="s">
        <v>50</v>
      </c>
      <c r="C17" s="3">
        <v>220901</v>
      </c>
      <c r="D17" s="4" t="s">
        <v>39</v>
      </c>
      <c r="E17" s="13"/>
      <c r="F17" s="13" t="s">
        <v>132</v>
      </c>
      <c r="G17" s="9" t="s">
        <v>111</v>
      </c>
    </row>
    <row r="18" spans="1:7" x14ac:dyDescent="0.3">
      <c r="A18" s="7"/>
      <c r="B18" s="7"/>
      <c r="C18" s="1"/>
      <c r="D18" s="2"/>
      <c r="E18" s="14"/>
      <c r="F18" s="14"/>
      <c r="G18" s="8" t="s">
        <v>112</v>
      </c>
    </row>
    <row r="19" spans="1:7" x14ac:dyDescent="0.3">
      <c r="A19" s="6">
        <v>510100</v>
      </c>
      <c r="B19" s="6" t="s">
        <v>62</v>
      </c>
      <c r="C19" s="3">
        <v>510101</v>
      </c>
      <c r="D19" s="4" t="s">
        <v>2</v>
      </c>
      <c r="E19" s="13"/>
      <c r="F19" s="13" t="s">
        <v>133</v>
      </c>
      <c r="G19" s="9" t="s">
        <v>113</v>
      </c>
    </row>
    <row r="20" spans="1:7" x14ac:dyDescent="0.3">
      <c r="A20" s="7"/>
      <c r="B20" s="7"/>
      <c r="C20" s="1">
        <v>510102</v>
      </c>
      <c r="D20" s="2" t="s">
        <v>5</v>
      </c>
      <c r="E20" s="14" t="s">
        <v>153</v>
      </c>
      <c r="F20" s="14" t="s">
        <v>134</v>
      </c>
      <c r="G20" s="8" t="s">
        <v>97</v>
      </c>
    </row>
    <row r="21" spans="1:7" x14ac:dyDescent="0.3">
      <c r="A21" s="6"/>
      <c r="B21" s="6"/>
      <c r="C21" s="3">
        <v>510103</v>
      </c>
      <c r="D21" s="4" t="s">
        <v>44</v>
      </c>
      <c r="E21" s="13"/>
      <c r="F21" s="13"/>
      <c r="G21" s="9" t="s">
        <v>98</v>
      </c>
    </row>
    <row r="22" spans="1:7" x14ac:dyDescent="0.3">
      <c r="A22" s="7"/>
      <c r="B22" s="7"/>
      <c r="C22" s="1">
        <v>510104</v>
      </c>
      <c r="D22" s="2" t="s">
        <v>45</v>
      </c>
      <c r="E22" s="14"/>
      <c r="F22" s="14"/>
      <c r="G22" s="8" t="s">
        <v>99</v>
      </c>
    </row>
    <row r="23" spans="1:7" x14ac:dyDescent="0.3">
      <c r="A23" s="6"/>
      <c r="B23" s="6"/>
      <c r="C23" s="3"/>
      <c r="D23" s="4"/>
      <c r="E23" s="13"/>
      <c r="F23" s="13" t="s">
        <v>135</v>
      </c>
      <c r="G23" s="9" t="s">
        <v>65</v>
      </c>
    </row>
    <row r="24" spans="1:7" x14ac:dyDescent="0.3">
      <c r="A24" s="7">
        <v>510200</v>
      </c>
      <c r="B24" s="7" t="s">
        <v>52</v>
      </c>
      <c r="C24" s="1">
        <v>510201</v>
      </c>
      <c r="D24" s="2" t="s">
        <v>6</v>
      </c>
      <c r="E24" s="14"/>
      <c r="F24" s="14"/>
      <c r="G24" s="8" t="s">
        <v>66</v>
      </c>
    </row>
    <row r="25" spans="1:7" x14ac:dyDescent="0.3">
      <c r="A25" s="6"/>
      <c r="B25" s="6"/>
      <c r="C25" s="3"/>
      <c r="D25" s="4"/>
      <c r="E25" s="13"/>
      <c r="F25" s="13"/>
      <c r="G25" s="9" t="s">
        <v>67</v>
      </c>
    </row>
    <row r="26" spans="1:7" x14ac:dyDescent="0.3">
      <c r="A26" s="7">
        <v>510300</v>
      </c>
      <c r="B26" s="7" t="s">
        <v>53</v>
      </c>
      <c r="C26" s="1">
        <v>510304</v>
      </c>
      <c r="D26" s="2" t="s">
        <v>29</v>
      </c>
      <c r="E26" s="14"/>
      <c r="F26" s="14"/>
      <c r="G26" s="8" t="s">
        <v>68</v>
      </c>
    </row>
    <row r="27" spans="1:7" x14ac:dyDescent="0.3">
      <c r="A27" s="6"/>
      <c r="B27" s="6"/>
      <c r="C27" s="3"/>
      <c r="D27" s="4"/>
      <c r="E27" s="13"/>
      <c r="F27" s="13"/>
      <c r="G27" s="9" t="s">
        <v>69</v>
      </c>
    </row>
    <row r="28" spans="1:7" x14ac:dyDescent="0.3">
      <c r="A28" s="7">
        <v>530900</v>
      </c>
      <c r="B28" s="7" t="s">
        <v>54</v>
      </c>
      <c r="C28" s="1">
        <v>530999</v>
      </c>
      <c r="D28" s="2" t="s">
        <v>16</v>
      </c>
      <c r="E28" s="13"/>
      <c r="F28" s="13"/>
      <c r="G28" s="9" t="s">
        <v>70</v>
      </c>
    </row>
    <row r="29" spans="1:7" x14ac:dyDescent="0.3">
      <c r="A29" s="6"/>
      <c r="B29" s="6"/>
      <c r="C29" s="3"/>
      <c r="D29" s="4"/>
      <c r="E29" s="14"/>
      <c r="F29" s="14"/>
      <c r="G29" s="8" t="s">
        <v>71</v>
      </c>
    </row>
    <row r="30" spans="1:7" x14ac:dyDescent="0.3">
      <c r="A30" s="7">
        <v>610100</v>
      </c>
      <c r="B30" s="7" t="s">
        <v>51</v>
      </c>
      <c r="C30" s="1">
        <v>610101</v>
      </c>
      <c r="D30" s="2" t="s">
        <v>1</v>
      </c>
      <c r="E30" s="13"/>
      <c r="F30" s="13"/>
      <c r="G30" s="9" t="s">
        <v>72</v>
      </c>
    </row>
    <row r="31" spans="1:7" x14ac:dyDescent="0.3">
      <c r="A31" s="6"/>
      <c r="B31" s="6"/>
      <c r="C31" s="3">
        <v>610102</v>
      </c>
      <c r="D31" s="4" t="s">
        <v>3</v>
      </c>
      <c r="E31" s="14"/>
      <c r="F31" s="14"/>
      <c r="G31" s="8" t="s">
        <v>73</v>
      </c>
    </row>
    <row r="32" spans="1:7" x14ac:dyDescent="0.3">
      <c r="A32" s="7"/>
      <c r="B32" s="7"/>
      <c r="C32" s="1">
        <v>610105</v>
      </c>
      <c r="D32" s="2" t="s">
        <v>7</v>
      </c>
      <c r="E32" s="14"/>
      <c r="F32" s="14"/>
      <c r="G32" s="8" t="s">
        <v>74</v>
      </c>
    </row>
    <row r="33" spans="1:7" x14ac:dyDescent="0.3">
      <c r="A33" s="6"/>
      <c r="B33" s="6"/>
      <c r="C33" s="3"/>
      <c r="D33" s="4"/>
      <c r="E33" s="13"/>
      <c r="F33" s="13"/>
      <c r="G33" s="9" t="s">
        <v>94</v>
      </c>
    </row>
    <row r="34" spans="1:7" x14ac:dyDescent="0.3">
      <c r="A34" s="7">
        <v>610200</v>
      </c>
      <c r="B34" s="7" t="s">
        <v>52</v>
      </c>
      <c r="C34" s="1">
        <v>610201</v>
      </c>
      <c r="D34" s="2" t="s">
        <v>4</v>
      </c>
      <c r="E34" s="14"/>
      <c r="F34" s="14" t="s">
        <v>136</v>
      </c>
      <c r="G34" s="8" t="s">
        <v>114</v>
      </c>
    </row>
    <row r="35" spans="1:7" x14ac:dyDescent="0.3">
      <c r="A35" s="6"/>
      <c r="B35" s="6"/>
      <c r="C35" s="3"/>
      <c r="D35" s="4"/>
      <c r="E35" s="13"/>
      <c r="F35" s="13"/>
      <c r="G35" s="9" t="s">
        <v>115</v>
      </c>
    </row>
    <row r="36" spans="1:7" x14ac:dyDescent="0.3">
      <c r="A36" s="7">
        <v>620100</v>
      </c>
      <c r="B36" s="7" t="s">
        <v>55</v>
      </c>
      <c r="C36" s="1">
        <v>620102</v>
      </c>
      <c r="D36" s="2" t="s">
        <v>31</v>
      </c>
      <c r="E36" s="14"/>
      <c r="F36" s="14"/>
      <c r="G36" s="8" t="s">
        <v>116</v>
      </c>
    </row>
    <row r="37" spans="1:7" x14ac:dyDescent="0.3">
      <c r="A37" s="6"/>
      <c r="B37" s="6"/>
      <c r="C37" s="3">
        <v>620104</v>
      </c>
      <c r="D37" s="4" t="s">
        <v>32</v>
      </c>
      <c r="E37" s="13"/>
      <c r="F37" s="13"/>
      <c r="G37" s="9" t="s">
        <v>117</v>
      </c>
    </row>
    <row r="38" spans="1:7" x14ac:dyDescent="0.3">
      <c r="A38" s="7"/>
      <c r="B38" s="7"/>
      <c r="C38" s="1">
        <v>620151</v>
      </c>
      <c r="D38" s="2" t="s">
        <v>33</v>
      </c>
      <c r="E38" s="14"/>
      <c r="F38" s="14"/>
      <c r="G38" s="8" t="s">
        <v>118</v>
      </c>
    </row>
    <row r="39" spans="1:7" x14ac:dyDescent="0.3">
      <c r="A39" s="6"/>
      <c r="B39" s="6"/>
      <c r="C39" s="3">
        <v>620106</v>
      </c>
      <c r="D39" s="4" t="s">
        <v>30</v>
      </c>
      <c r="E39" s="13"/>
      <c r="F39" s="13"/>
      <c r="G39" s="9" t="s">
        <v>119</v>
      </c>
    </row>
    <row r="40" spans="1:7" x14ac:dyDescent="0.3">
      <c r="A40" s="7"/>
      <c r="B40" s="7"/>
      <c r="C40" s="1">
        <v>620199</v>
      </c>
      <c r="D40" s="2" t="s">
        <v>34</v>
      </c>
      <c r="E40" s="14"/>
      <c r="F40" s="14" t="s">
        <v>137</v>
      </c>
      <c r="G40" s="8" t="s">
        <v>90</v>
      </c>
    </row>
    <row r="41" spans="1:7" x14ac:dyDescent="0.3">
      <c r="A41" s="6"/>
      <c r="B41" s="6"/>
      <c r="C41" s="3"/>
      <c r="D41" s="4"/>
      <c r="E41" s="14"/>
      <c r="F41" s="14"/>
      <c r="G41" s="8" t="s">
        <v>120</v>
      </c>
    </row>
    <row r="42" spans="1:7" x14ac:dyDescent="0.3">
      <c r="A42" s="7">
        <v>620400</v>
      </c>
      <c r="B42" s="7" t="s">
        <v>56</v>
      </c>
      <c r="C42" s="1">
        <v>620402</v>
      </c>
      <c r="D42" s="2" t="s">
        <v>17</v>
      </c>
      <c r="E42" s="13"/>
      <c r="F42" s="13"/>
      <c r="G42" s="9" t="s">
        <v>92</v>
      </c>
    </row>
    <row r="43" spans="1:7" x14ac:dyDescent="0.3">
      <c r="A43" s="6"/>
      <c r="B43" s="6"/>
      <c r="C43" s="3"/>
      <c r="D43" s="4"/>
      <c r="E43" s="14"/>
      <c r="F43" s="14"/>
      <c r="G43" s="8" t="s">
        <v>93</v>
      </c>
    </row>
    <row r="44" spans="1:7" x14ac:dyDescent="0.3">
      <c r="A44" s="7">
        <v>630100</v>
      </c>
      <c r="B44" s="7" t="s">
        <v>57</v>
      </c>
      <c r="C44" s="1">
        <v>630102</v>
      </c>
      <c r="D44" s="2" t="s">
        <v>41</v>
      </c>
      <c r="E44" s="14"/>
      <c r="F44" s="14"/>
      <c r="G44" s="8" t="s">
        <v>91</v>
      </c>
    </row>
    <row r="45" spans="1:7" x14ac:dyDescent="0.3">
      <c r="A45" s="6"/>
      <c r="B45" s="6"/>
      <c r="C45" s="3">
        <v>630104</v>
      </c>
      <c r="D45" s="4" t="s">
        <v>42</v>
      </c>
      <c r="E45" s="13"/>
      <c r="F45" s="13" t="s">
        <v>138</v>
      </c>
      <c r="G45" s="9" t="s">
        <v>84</v>
      </c>
    </row>
    <row r="46" spans="1:7" x14ac:dyDescent="0.3">
      <c r="A46" s="7"/>
      <c r="B46" s="7"/>
      <c r="C46" s="1">
        <v>630105</v>
      </c>
      <c r="D46" s="2" t="s">
        <v>43</v>
      </c>
      <c r="E46" s="14"/>
      <c r="F46" s="14"/>
      <c r="G46" s="8" t="s">
        <v>85</v>
      </c>
    </row>
    <row r="47" spans="1:7" x14ac:dyDescent="0.3">
      <c r="A47" s="6"/>
      <c r="B47" s="6"/>
      <c r="C47" s="3">
        <v>630106</v>
      </c>
      <c r="D47" s="4" t="s">
        <v>46</v>
      </c>
      <c r="E47" s="13"/>
      <c r="F47" s="13"/>
      <c r="G47" s="9" t="s">
        <v>86</v>
      </c>
    </row>
    <row r="48" spans="1:7" x14ac:dyDescent="0.3">
      <c r="A48" s="7"/>
      <c r="B48" s="7"/>
      <c r="C48" s="1">
        <v>630107</v>
      </c>
      <c r="D48" s="2" t="s">
        <v>35</v>
      </c>
      <c r="E48" s="14"/>
      <c r="F48" s="14" t="s">
        <v>139</v>
      </c>
      <c r="G48" s="8" t="s">
        <v>121</v>
      </c>
    </row>
    <row r="49" spans="1:7" x14ac:dyDescent="0.3">
      <c r="A49" s="6"/>
      <c r="B49" s="6"/>
      <c r="C49" s="3"/>
      <c r="D49" s="4"/>
      <c r="E49" s="14"/>
      <c r="F49" s="14"/>
      <c r="G49" s="8" t="s">
        <v>122</v>
      </c>
    </row>
    <row r="50" spans="1:7" x14ac:dyDescent="0.3">
      <c r="A50" s="7">
        <v>630200</v>
      </c>
      <c r="B50" s="7" t="s">
        <v>58</v>
      </c>
      <c r="C50" s="1">
        <v>630201</v>
      </c>
      <c r="D50" s="2" t="s">
        <v>27</v>
      </c>
      <c r="E50" s="13"/>
      <c r="F50" s="13"/>
      <c r="G50" s="9" t="s">
        <v>100</v>
      </c>
    </row>
    <row r="51" spans="1:7" x14ac:dyDescent="0.3">
      <c r="A51" s="6"/>
      <c r="B51" s="6"/>
      <c r="C51" s="3">
        <v>630202</v>
      </c>
      <c r="D51" s="4" t="s">
        <v>24</v>
      </c>
      <c r="E51" s="14"/>
      <c r="F51" s="14" t="s">
        <v>140</v>
      </c>
      <c r="G51" s="8" t="s">
        <v>123</v>
      </c>
    </row>
    <row r="52" spans="1:7" x14ac:dyDescent="0.3">
      <c r="A52" s="7"/>
      <c r="B52" s="7"/>
      <c r="C52" s="1">
        <v>630203</v>
      </c>
      <c r="D52" s="2" t="s">
        <v>25</v>
      </c>
      <c r="E52" s="13"/>
      <c r="F52" s="13" t="s">
        <v>141</v>
      </c>
      <c r="G52" s="9" t="s">
        <v>124</v>
      </c>
    </row>
    <row r="53" spans="1:7" x14ac:dyDescent="0.3">
      <c r="A53" s="6"/>
      <c r="B53" s="6"/>
      <c r="C53" s="3">
        <v>630205</v>
      </c>
      <c r="D53" s="4" t="s">
        <v>26</v>
      </c>
      <c r="E53" s="14" t="s">
        <v>154</v>
      </c>
      <c r="F53" s="14" t="s">
        <v>142</v>
      </c>
      <c r="G53" s="8" t="s">
        <v>161</v>
      </c>
    </row>
    <row r="54" spans="1:7" x14ac:dyDescent="0.3">
      <c r="A54" s="7"/>
      <c r="B54" s="7"/>
      <c r="C54" s="1"/>
      <c r="D54" s="2"/>
      <c r="E54" s="13"/>
      <c r="F54" s="13"/>
      <c r="G54" s="9" t="s">
        <v>162</v>
      </c>
    </row>
    <row r="55" spans="1:7" x14ac:dyDescent="0.3">
      <c r="A55" s="6">
        <v>630300</v>
      </c>
      <c r="B55" s="6" t="s">
        <v>59</v>
      </c>
      <c r="C55" s="3">
        <v>630301</v>
      </c>
      <c r="D55" s="4" t="s">
        <v>18</v>
      </c>
      <c r="E55" s="13"/>
      <c r="F55" s="13"/>
      <c r="G55" s="9" t="s">
        <v>167</v>
      </c>
    </row>
    <row r="56" spans="1:7" x14ac:dyDescent="0.3">
      <c r="A56" s="7"/>
      <c r="B56" s="7"/>
      <c r="C56" s="1">
        <v>630302</v>
      </c>
      <c r="D56" s="2" t="s">
        <v>19</v>
      </c>
      <c r="E56" s="14"/>
      <c r="F56" s="14" t="s">
        <v>143</v>
      </c>
      <c r="G56" s="8" t="s">
        <v>163</v>
      </c>
    </row>
    <row r="57" spans="1:7" x14ac:dyDescent="0.3">
      <c r="A57" s="6"/>
      <c r="B57" s="6"/>
      <c r="C57" s="3">
        <v>630303</v>
      </c>
      <c r="D57" s="4" t="s">
        <v>20</v>
      </c>
      <c r="E57" s="13"/>
      <c r="F57" s="13"/>
      <c r="G57" s="9" t="s">
        <v>164</v>
      </c>
    </row>
    <row r="58" spans="1:7" x14ac:dyDescent="0.3">
      <c r="A58" s="7"/>
      <c r="B58" s="7"/>
      <c r="C58" s="1">
        <v>630304</v>
      </c>
      <c r="D58" s="2" t="s">
        <v>21</v>
      </c>
      <c r="E58" s="13"/>
      <c r="F58" s="13"/>
      <c r="G58" s="9" t="s">
        <v>168</v>
      </c>
    </row>
    <row r="59" spans="1:7" x14ac:dyDescent="0.3">
      <c r="A59" s="6"/>
      <c r="B59" s="6"/>
      <c r="C59" s="3">
        <v>630307</v>
      </c>
      <c r="D59" s="4" t="s">
        <v>22</v>
      </c>
      <c r="E59" s="14"/>
      <c r="F59" s="14" t="s">
        <v>144</v>
      </c>
      <c r="G59" s="8" t="s">
        <v>125</v>
      </c>
    </row>
    <row r="60" spans="1:7" x14ac:dyDescent="0.3">
      <c r="A60" s="7"/>
      <c r="B60" s="7"/>
      <c r="C60" s="1">
        <v>630310</v>
      </c>
      <c r="D60" s="2" t="s">
        <v>28</v>
      </c>
      <c r="E60" s="13"/>
      <c r="F60" s="13" t="s">
        <v>145</v>
      </c>
      <c r="G60" s="9" t="s">
        <v>126</v>
      </c>
    </row>
    <row r="61" spans="1:7" x14ac:dyDescent="0.3">
      <c r="A61" s="6"/>
      <c r="B61" s="6"/>
      <c r="C61" s="3">
        <v>630399</v>
      </c>
      <c r="D61" s="4" t="s">
        <v>23</v>
      </c>
      <c r="E61" s="13"/>
      <c r="F61" s="13" t="s">
        <v>146</v>
      </c>
      <c r="G61" s="9" t="s">
        <v>170</v>
      </c>
    </row>
    <row r="62" spans="1:7" x14ac:dyDescent="0.3">
      <c r="A62" s="7"/>
      <c r="B62" s="7"/>
      <c r="C62" s="1"/>
      <c r="D62" s="2"/>
      <c r="E62" s="14"/>
      <c r="F62" s="14"/>
      <c r="G62" s="8" t="s">
        <v>171</v>
      </c>
    </row>
    <row r="63" spans="1:7" x14ac:dyDescent="0.3">
      <c r="A63" s="6">
        <v>940100</v>
      </c>
      <c r="B63" s="6" t="s">
        <v>63</v>
      </c>
      <c r="C63" s="3">
        <v>940101</v>
      </c>
      <c r="D63" s="4" t="s">
        <v>64</v>
      </c>
      <c r="E63" s="13"/>
      <c r="F63" s="13" t="s">
        <v>147</v>
      </c>
      <c r="G63" s="9" t="s">
        <v>165</v>
      </c>
    </row>
    <row r="64" spans="1:7" x14ac:dyDescent="0.3">
      <c r="E64" s="14"/>
      <c r="F64" s="14"/>
      <c r="G64" s="8" t="s">
        <v>166</v>
      </c>
    </row>
    <row r="65" spans="5:7" x14ac:dyDescent="0.3">
      <c r="E65" s="14"/>
      <c r="F65" s="14"/>
      <c r="G65" s="8" t="s">
        <v>169</v>
      </c>
    </row>
    <row r="66" spans="5:7" x14ac:dyDescent="0.3">
      <c r="E66" s="13"/>
      <c r="F66" s="13" t="s">
        <v>148</v>
      </c>
      <c r="G66" s="10" t="s">
        <v>87</v>
      </c>
    </row>
    <row r="67" spans="5:7" x14ac:dyDescent="0.3">
      <c r="E67" s="14"/>
      <c r="F67" s="14" t="s">
        <v>149</v>
      </c>
      <c r="G67" s="8" t="s">
        <v>88</v>
      </c>
    </row>
    <row r="68" spans="5:7" x14ac:dyDescent="0.3">
      <c r="E68" s="13"/>
      <c r="F68" s="13"/>
      <c r="G68" s="9" t="s">
        <v>89</v>
      </c>
    </row>
    <row r="69" spans="5:7" x14ac:dyDescent="0.3">
      <c r="E69" s="13" t="s">
        <v>157</v>
      </c>
      <c r="F69" s="13" t="s">
        <v>158</v>
      </c>
      <c r="G69" s="11" t="s">
        <v>159</v>
      </c>
    </row>
    <row r="70" spans="5:7" x14ac:dyDescent="0.3">
      <c r="E70" s="14" t="s">
        <v>155</v>
      </c>
      <c r="F70" s="14" t="s">
        <v>150</v>
      </c>
      <c r="G70" s="8" t="s">
        <v>95</v>
      </c>
    </row>
    <row r="71" spans="5:7" x14ac:dyDescent="0.3">
      <c r="E71" s="13"/>
      <c r="F71" s="13"/>
      <c r="G71" s="9" t="s">
        <v>75</v>
      </c>
    </row>
    <row r="72" spans="5:7" x14ac:dyDescent="0.3">
      <c r="E72" s="14"/>
      <c r="F72" s="14" t="s">
        <v>151</v>
      </c>
      <c r="G72" s="8" t="s">
        <v>76</v>
      </c>
    </row>
    <row r="73" spans="5:7" x14ac:dyDescent="0.3">
      <c r="E73" s="13"/>
      <c r="F73" s="13"/>
      <c r="G73" s="9" t="s">
        <v>77</v>
      </c>
    </row>
    <row r="74" spans="5:7" x14ac:dyDescent="0.3">
      <c r="E74" s="13"/>
      <c r="F74" s="13"/>
      <c r="G74" s="9" t="s">
        <v>78</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Recommendations_ рекомендации</vt:lpstr>
      <vt:lpstr>Agreement</vt:lpstr>
      <vt:lpstr>Report</vt:lpstr>
      <vt:lpstr>Этап 1</vt:lpstr>
      <vt:lpstr>Этап 2</vt:lpstr>
      <vt:lpstr>Этап 3</vt:lpstr>
      <vt:lpstr>Accounts</vt:lpstr>
      <vt:lpstr>technical</vt:lpstr>
      <vt:lpstr>Notes - TG</vt:lpstr>
      <vt:lpstr>Not typed project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Oleg Zagarin</dc:creator>
  <cp:lastModifiedBy>Narek Ananyan</cp:lastModifiedBy>
  <cp:lastPrinted>2018-11-09T08:31:37Z</cp:lastPrinted>
  <dcterms:created xsi:type="dcterms:W3CDTF">2017-09-20T13:58:52Z</dcterms:created>
  <dcterms:modified xsi:type="dcterms:W3CDTF">2022-10-04T13:45:53Z</dcterms:modified>
</cp:coreProperties>
</file>